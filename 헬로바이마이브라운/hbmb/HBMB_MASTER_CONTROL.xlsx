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9\Desktop\00.마이브라운\헬로바이마이브라운\"/>
    </mc:Choice>
  </mc:AlternateContent>
  <xr:revisionPtr revIDLastSave="0" documentId="13_ncr:1_{24159F0A-3E98-4EE3-87E2-905A5D4C9878}" xr6:coauthVersionLast="47" xr6:coauthVersionMax="47" xr10:uidLastSave="{00000000-0000-0000-0000-000000000000}"/>
  <bookViews>
    <workbookView xWindow="1920" yWindow="1920" windowWidth="27708" windowHeight="21696" tabRatio="963" activeTab="5" xr2:uid="{81BE2969-F07D-450F-8CD1-11B5A5DB8868}"/>
  </bookViews>
  <sheets>
    <sheet name="CORE_STRATEGY" sheetId="1" r:id="rId1"/>
    <sheet name="Revenue_Model" sheetId="2" r:id="rId2"/>
    <sheet name="Master_KPI" sheetId="8" r:id="rId3"/>
    <sheet name="Project_Roadmap" sheetId="9" r:id="rId4"/>
    <sheet name="Analytics_Framework" sheetId="10" r:id="rId5"/>
    <sheet name="Project_Status" sheetId="3" r:id="rId6"/>
    <sheet name="AI_Orchestrator_Map" sheetId="11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9" i="3" l="1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</calcChain>
</file>

<file path=xl/sharedStrings.xml><?xml version="1.0" encoding="utf-8"?>
<sst xmlns="http://schemas.openxmlformats.org/spreadsheetml/2006/main" count="2391" uniqueCount="789">
  <si>
    <t>0_Dashboard</t>
  </si>
  <si>
    <t>Workstream</t>
  </si>
  <si>
    <t>Total</t>
  </si>
  <si>
    <t>Done</t>
  </si>
  <si>
    <t>In Progress</t>
  </si>
  <si>
    <t>Blocked</t>
  </si>
  <si>
    <t>Strategy &amp; Positioning</t>
  </si>
  <si>
    <t>Brand &amp; Copy</t>
  </si>
  <si>
    <t>Landing &amp; Funnel</t>
  </si>
  <si>
    <t>Test UX &amp; Results</t>
  </si>
  <si>
    <t>Web/Engineering</t>
  </si>
  <si>
    <t>Domain/Infra/Security</t>
  </si>
  <si>
    <t>Analytics &amp; Data</t>
  </si>
  <si>
    <t>SEO &amp; AI Search</t>
  </si>
  <si>
    <t>Content (Blog/UGC)</t>
  </si>
  <si>
    <t>Ads (Meta/TikTok)</t>
  </si>
  <si>
    <t>Operations/Legal</t>
  </si>
  <si>
    <t>Partnerships &amp; Distribution</t>
  </si>
  <si>
    <t>1_Master_Backlog</t>
  </si>
  <si>
    <t>ID</t>
  </si>
  <si>
    <t>Phase</t>
    <phoneticPr fontId="5" type="noConversion"/>
  </si>
  <si>
    <t>Workstream</t>
    <phoneticPr fontId="5" type="noConversion"/>
  </si>
  <si>
    <t>Project Tag</t>
  </si>
  <si>
    <t>Tag Reason</t>
  </si>
  <si>
    <t>Epic</t>
    <phoneticPr fontId="5" type="noConversion"/>
  </si>
  <si>
    <t>Task</t>
    <phoneticPr fontId="5" type="noConversion"/>
  </si>
  <si>
    <t>Deliverable</t>
    <phoneticPr fontId="5" type="noConversion"/>
  </si>
  <si>
    <t>Owner</t>
  </si>
  <si>
    <t>Priority</t>
    <phoneticPr fontId="5" type="noConversion"/>
  </si>
  <si>
    <t>Impact</t>
  </si>
  <si>
    <t>Effort</t>
    <phoneticPr fontId="5" type="noConversion"/>
  </si>
  <si>
    <t>Status</t>
  </si>
  <si>
    <t>Start</t>
  </si>
  <si>
    <t>Due</t>
  </si>
  <si>
    <t>Dependencies</t>
    <phoneticPr fontId="5" type="noConversion"/>
  </si>
  <si>
    <t>Notes</t>
  </si>
  <si>
    <t>Links</t>
  </si>
  <si>
    <t>HBMB-001</t>
  </si>
  <si>
    <t>P0-Setup</t>
  </si>
  <si>
    <t>MVP</t>
  </si>
  <si>
    <t>제품 경험·안정성·신뢰 영역</t>
  </si>
  <si>
    <t>Domain</t>
  </si>
  <si>
    <t>도메인 후보(3~5개) 조사 및 상표/혼동 리스크 체크</t>
  </si>
  <si>
    <t>후보 리스트</t>
  </si>
  <si>
    <t>P0</t>
  </si>
  <si>
    <t>High</t>
  </si>
  <si>
    <t>S</t>
  </si>
  <si>
    <t>HBMB-002</t>
  </si>
  <si>
    <t>도메인 최종 선정</t>
  </si>
  <si>
    <t>도메인 확정</t>
  </si>
  <si>
    <t>HBMB-003</t>
  </si>
  <si>
    <t>도메인 구매/소유권/자동갱신 설정</t>
  </si>
  <si>
    <t>구매 완료</t>
  </si>
  <si>
    <t>HBMB-004</t>
  </si>
  <si>
    <t>DNS</t>
  </si>
  <si>
    <t>DNS 레코드(A/CNAME/TXT) 설정</t>
  </si>
  <si>
    <t>DNS 완료</t>
  </si>
  <si>
    <t>HBMB-005</t>
  </si>
  <si>
    <t>SSL</t>
  </si>
  <si>
    <t>HTTPS/SSL 적용(자동 갱신 확인)</t>
  </si>
  <si>
    <t>HTTPS OK</t>
  </si>
  <si>
    <t>HBMB-006</t>
  </si>
  <si>
    <t>Hosting</t>
  </si>
  <si>
    <t>호스팅/배포 플랫폼 선택(Vercel/Netlify 등)</t>
  </si>
  <si>
    <t>플랫폼 결정</t>
  </si>
  <si>
    <t>HBMB-007</t>
  </si>
  <si>
    <t>CI/CD</t>
  </si>
  <si>
    <t>Preview/Prod 배포 파이프라인 구성</t>
  </si>
  <si>
    <t>배포 파이프라인</t>
  </si>
  <si>
    <t>P1</t>
  </si>
  <si>
    <t>Medium</t>
  </si>
  <si>
    <t>M</t>
  </si>
  <si>
    <t>HBMB-008</t>
  </si>
  <si>
    <t>P1-MVP</t>
  </si>
  <si>
    <t>Security</t>
  </si>
  <si>
    <t>보안 헤더(CSP, X-Frame-Options 등) 기본 적용</t>
  </si>
  <si>
    <t>헤더 적용</t>
  </si>
  <si>
    <t>P2</t>
  </si>
  <si>
    <t>HBMB-009</t>
  </si>
  <si>
    <t>Monitoring</t>
  </si>
  <si>
    <t>에러 모니터링/알림(Sentry 등) 세팅</t>
  </si>
  <si>
    <t>알림 OK</t>
  </si>
  <si>
    <t>HBMB-010</t>
  </si>
  <si>
    <t>Ops</t>
  </si>
  <si>
    <t>백업/롤백/상태페이지(선택) 기준 수립</t>
  </si>
  <si>
    <t>운영 기준</t>
  </si>
  <si>
    <t>P3</t>
  </si>
  <si>
    <t>Low</t>
  </si>
  <si>
    <t>HBMB-011</t>
  </si>
  <si>
    <t>AD</t>
  </si>
  <si>
    <t>광고/랜딩 메시지의 기준 정의</t>
  </si>
  <si>
    <t>Narrative</t>
  </si>
  <si>
    <t>서비스 한 문장 정의(한글)</t>
  </si>
  <si>
    <t>정의문 KO</t>
  </si>
  <si>
    <t>HBMB-012</t>
  </si>
  <si>
    <t>서비스 한 문장 정의(영문/AI용)</t>
  </si>
  <si>
    <t>정의문 EN</t>
  </si>
  <si>
    <t>HBMB-013</t>
  </si>
  <si>
    <t>Differentiation</t>
  </si>
  <si>
    <t>MBTI/유사 테스트 대비 차별 포인트 5개</t>
  </si>
  <si>
    <t>차별 포인트</t>
  </si>
  <si>
    <t>HBMB-014</t>
  </si>
  <si>
    <t>Target</t>
  </si>
  <si>
    <t>핵심 타깃 1~2 세그먼트 정의(상황/통증)</t>
  </si>
  <si>
    <t>타깃 정의</t>
  </si>
  <si>
    <t>HBMB-015</t>
  </si>
  <si>
    <t>Messaging</t>
  </si>
  <si>
    <t>광고/랜딩 공감 축(핵심 질문) 3개 도출</t>
  </si>
  <si>
    <t>핵심 질문 3</t>
  </si>
  <si>
    <t>HBMB-016</t>
  </si>
  <si>
    <t>유입·메시지·문장 실험 영역</t>
  </si>
  <si>
    <t>Tone</t>
  </si>
  <si>
    <t>브랜드 톤/말투 가이드(금지/허용 포함)</t>
  </si>
  <si>
    <t>톤 가이드</t>
  </si>
  <si>
    <t>HBMB-017</t>
  </si>
  <si>
    <t>Naming</t>
  </si>
  <si>
    <t>용어 통일(헬로브라운/바이브라운/견종명 표기)</t>
  </si>
  <si>
    <t>용어표</t>
  </si>
  <si>
    <t>HBMB-018</t>
  </si>
  <si>
    <t>Copy Kit</t>
  </si>
  <si>
    <t>랜딩/결과/공유용 핵심 문장 라이브러리 구축</t>
  </si>
  <si>
    <t>카피 킷</t>
  </si>
  <si>
    <t>HBMB-019</t>
  </si>
  <si>
    <t>P2-Growth</t>
  </si>
  <si>
    <t>Brand</t>
  </si>
  <si>
    <t>브랜드 비주얼 확장(컬러/타이포/컴포넌트)</t>
  </si>
  <si>
    <t>UI 가이드</t>
  </si>
  <si>
    <t>HBMB-020</t>
  </si>
  <si>
    <t>AD→MVP</t>
  </si>
  <si>
    <t>광고 유입과 제품 경험을 잇는 연결 구간</t>
  </si>
  <si>
    <t>Landing MVP</t>
  </si>
  <si>
    <t>랜딩 1장 정보구조(3초 이해) 확정</t>
  </si>
  <si>
    <t>와이어/카피</t>
  </si>
  <si>
    <t>HBMB-021</t>
  </si>
  <si>
    <t>Landing Copy</t>
  </si>
  <si>
    <t>랜딩 헤드라인 10개(질문형/공감형)</t>
  </si>
  <si>
    <t>헤드라인 10</t>
  </si>
  <si>
    <t>HBMB-022</t>
  </si>
  <si>
    <t>Micro-Quiz</t>
  </si>
  <si>
    <t>랜딩 미니 질문지 3~5문항(v1)</t>
  </si>
  <si>
    <t>미니질문 v1</t>
  </si>
  <si>
    <t>HBMB-023</t>
  </si>
  <si>
    <t>미니 질문지 변형안 2개(A/B용)</t>
  </si>
  <si>
    <t>미니질문 v2~v3</t>
  </si>
  <si>
    <t>HBMB-024</t>
  </si>
  <si>
    <t>Funnel</t>
  </si>
  <si>
    <t>랜딩→본 테스트 전환 플로우(스크롤 최소)</t>
  </si>
  <si>
    <t>전환 플로우</t>
  </si>
  <si>
    <t>HBMB-025</t>
  </si>
  <si>
    <t>Sharing</t>
  </si>
  <si>
    <t>공유 유도 문장/버튼/캡처 가이드</t>
  </si>
  <si>
    <t>공유 UX</t>
  </si>
  <si>
    <t>HBMB-026</t>
  </si>
  <si>
    <t>Experiment</t>
  </si>
  <si>
    <t>랜딩(헤드라인/미니질문) A/B 테스트 운영 루프</t>
  </si>
  <si>
    <t>실험 루프</t>
  </si>
  <si>
    <t>HBMB-027</t>
  </si>
  <si>
    <t>Questionnaire</t>
  </si>
  <si>
    <t>본 질문지 최종정리(문장/순서/분기)</t>
  </si>
  <si>
    <t>질문지 v1</t>
  </si>
  <si>
    <t>L</t>
  </si>
  <si>
    <t>HBMB-028</t>
  </si>
  <si>
    <t>Scoring</t>
  </si>
  <si>
    <t>결과 산출 규칙(타이브레이크/예외) 문서화</t>
  </si>
  <si>
    <t>규칙 문서</t>
  </si>
  <si>
    <t>HBMB-029</t>
  </si>
  <si>
    <t>Result Cards</t>
  </si>
  <si>
    <t>견종카드: 캡처용 한 문장(각 타입) 작성</t>
  </si>
  <si>
    <t>핵심 문장</t>
  </si>
  <si>
    <t>HBMB-030</t>
  </si>
  <si>
    <t>견종카드: 상세(강점/오해/주의/추천) 정리</t>
  </si>
  <si>
    <t>카드 상세</t>
  </si>
  <si>
    <t>HBMB-031</t>
  </si>
  <si>
    <t>Result Pages</t>
  </si>
  <si>
    <t>결과 페이지 템플릿(요약→상세→추천 액션)</t>
  </si>
  <si>
    <t>템플릿</t>
  </si>
  <si>
    <t>HBMB-032</t>
  </si>
  <si>
    <t>Shareability</t>
  </si>
  <si>
    <t>OG 이미지 템플릿 및 자동 생성 방식</t>
  </si>
  <si>
    <t>OG 시스템</t>
  </si>
  <si>
    <t>HBMB-033</t>
  </si>
  <si>
    <t>Retention</t>
  </si>
  <si>
    <t>결과 기반 리텐션 요소(재방문 이유) 설계</t>
  </si>
  <si>
    <t>리텐션 기획</t>
  </si>
  <si>
    <t>HBMB-034</t>
  </si>
  <si>
    <t>Repo/CI</t>
  </si>
  <si>
    <t>코드 저장소/이슈 트래킹/배포 기본 세팅</t>
  </si>
  <si>
    <t>개발 환경</t>
  </si>
  <si>
    <t>HBMB-035</t>
  </si>
  <si>
    <t>Frontend</t>
  </si>
  <si>
    <t>랜딩 구현(반응형/접근성 기본)</t>
  </si>
  <si>
    <t>랜딩 배포</t>
  </si>
  <si>
    <t>HBMB-036</t>
  </si>
  <si>
    <t>미니 질문지 UI 구현(버전 실험 가능)</t>
  </si>
  <si>
    <t>미니질문 UI</t>
  </si>
  <si>
    <t>HBMB-037</t>
  </si>
  <si>
    <t>본 테스트 UI(진행률/뒤로가기/중단) 구현</t>
  </si>
  <si>
    <t>테스트 UI</t>
  </si>
  <si>
    <t>HBMB-038</t>
  </si>
  <si>
    <t>Backend/Logic</t>
  </si>
  <si>
    <t>채점/분류 로직 구현(클라/서버 결정)</t>
  </si>
  <si>
    <t>스코어 엔진</t>
  </si>
  <si>
    <t>HBMB-039</t>
  </si>
  <si>
    <t>Pages</t>
  </si>
  <si>
    <t>결과 페이지 렌더/공유 URL 설계</t>
  </si>
  <si>
    <t>결과 배포</t>
  </si>
  <si>
    <t>HBMB-040</t>
  </si>
  <si>
    <t>QA</t>
  </si>
  <si>
    <t>크로스브라우저/모바일 QA</t>
  </si>
  <si>
    <t>QA 완료</t>
  </si>
  <si>
    <t>HBMB-041</t>
  </si>
  <si>
    <t>Testing</t>
  </si>
  <si>
    <t>E2E 스모크 테스트(핵심 경로)</t>
  </si>
  <si>
    <t>E2E 3개</t>
  </si>
  <si>
    <t>HBMB-042</t>
  </si>
  <si>
    <t>Tracking Plan</t>
  </si>
  <si>
    <t>이벤트 택소노미 정의(랜딩/미니/본테스트/결과/공유)</t>
  </si>
  <si>
    <t>이벤트 목록</t>
  </si>
  <si>
    <t>HBMB-043</t>
  </si>
  <si>
    <t>GA4</t>
  </si>
  <si>
    <t>GA4 설치 및 핵심 이벤트 매핑</t>
  </si>
  <si>
    <t>GA4 수집</t>
  </si>
  <si>
    <t>HBMB-044</t>
  </si>
  <si>
    <t>Meta Pixel</t>
  </si>
  <si>
    <t>Meta Pixel 설치 및 이벤트 매핑</t>
  </si>
  <si>
    <t>픽셀 수집</t>
  </si>
  <si>
    <t>HBMB-045</t>
  </si>
  <si>
    <t>UTM</t>
  </si>
  <si>
    <t>UTM 규칙/캠페인 네이밍 룰 확정</t>
  </si>
  <si>
    <t>룰 문서</t>
  </si>
  <si>
    <t>HBMB-046</t>
  </si>
  <si>
    <t>Dashboard</t>
  </si>
  <si>
    <t>퍼널 대시보드(주간 지표) 구성</t>
  </si>
  <si>
    <t>대시보드 v1</t>
  </si>
  <si>
    <t>HBMB-047</t>
  </si>
  <si>
    <t>제품 성립 검증 영역</t>
  </si>
  <si>
    <t>Technical SEO</t>
  </si>
  <si>
    <t>sitemap.xml/robots.txt 구성 및 제출</t>
  </si>
  <si>
    <t>sitemap/robots</t>
  </si>
  <si>
    <t>HBMB-048</t>
  </si>
  <si>
    <t>Metadata</t>
  </si>
  <si>
    <t>메타태그/OG/트위터카드 세팅(랜딩/결과)</t>
  </si>
  <si>
    <t>메타 세팅</t>
  </si>
  <si>
    <t>HBMB-049</t>
  </si>
  <si>
    <t>AI Explain</t>
  </si>
  <si>
    <t>/en 소개 페이지(정의/구조/비교/원리) 작성</t>
  </si>
  <si>
    <t>/en 페이지</t>
  </si>
  <si>
    <t>HBMB-050</t>
  </si>
  <si>
    <t>AI Docs</t>
  </si>
  <si>
    <t>/en/blog 문서형 글 2~3편 작성(운영X)</t>
  </si>
  <si>
    <t>글 2~3</t>
  </si>
  <si>
    <t>HBMB-051</t>
  </si>
  <si>
    <t>FAQ</t>
  </si>
  <si>
    <t>FAQ 섹션(ko/en) 작성</t>
  </si>
  <si>
    <t>HBMB-052</t>
  </si>
  <si>
    <t>Naver Blog</t>
  </si>
  <si>
    <t>네이버 블로그 개설/프로필/소개 정리</t>
  </si>
  <si>
    <t>블로그 개설</t>
  </si>
  <si>
    <t>HBMB-053</t>
  </si>
  <si>
    <t>블로그 글 5편 기획(유입형)</t>
  </si>
  <si>
    <t>캘린더</t>
  </si>
  <si>
    <t>HBMB-054</t>
  </si>
  <si>
    <t>블로그 글 5편 작성/발행</t>
  </si>
  <si>
    <t>글 5편</t>
  </si>
  <si>
    <t>HBMB-055</t>
  </si>
  <si>
    <t>UGC</t>
  </si>
  <si>
    <t>UGC형 숏폼 스크립트 10개</t>
  </si>
  <si>
    <t>스크립트 10</t>
  </si>
  <si>
    <t>HBMB-056</t>
  </si>
  <si>
    <t>Repurpose</t>
  </si>
  <si>
    <t>블로그→인스타 카드뉴스 5개 변환</t>
  </si>
  <si>
    <t>카드뉴스 5</t>
  </si>
  <si>
    <t>HBMB-057</t>
  </si>
  <si>
    <t>Meta Setup</t>
  </si>
  <si>
    <t>Meta Business/Ads 계정 세팅</t>
  </si>
  <si>
    <t>계정 준비</t>
  </si>
  <si>
    <t>HBMB-058</t>
  </si>
  <si>
    <t>Campaign</t>
  </si>
  <si>
    <t>100만원 테스트 캠페인 구조 설계</t>
  </si>
  <si>
    <t>캠페인 설계</t>
  </si>
  <si>
    <t>HBMB-059</t>
  </si>
  <si>
    <t>Creatives</t>
  </si>
  <si>
    <t>질문형/공감형 광고 소재 12개 제작</t>
  </si>
  <si>
    <t>소재 12</t>
  </si>
  <si>
    <t>HBMB-060</t>
  </si>
  <si>
    <t>Retargeting</t>
  </si>
  <si>
    <t>리타겟팅 세그먼트/캠페인 구성</t>
  </si>
  <si>
    <t>리타겟 세트</t>
  </si>
  <si>
    <t>HBMB-061</t>
  </si>
  <si>
    <t>Scale</t>
  </si>
  <si>
    <t>300만원 확장 플랜 수립</t>
  </si>
  <si>
    <t>확장 플랜</t>
  </si>
  <si>
    <t>HBMB-062</t>
  </si>
  <si>
    <t>TikTok</t>
  </si>
  <si>
    <t>틱톡 광고 계정/픽셀/캠페인 테스트(조건부)</t>
  </si>
  <si>
    <t>틱톡 테스트</t>
  </si>
  <si>
    <t>HBMB-063</t>
  </si>
  <si>
    <t>Policy</t>
  </si>
  <si>
    <t>개인정보처리방침/이용약관 초안 작성</t>
  </si>
  <si>
    <t>HBMB-064</t>
  </si>
  <si>
    <t>Data Policy</t>
  </si>
  <si>
    <t>데이터 보관/삭제 정책(익명 세션 포함) 정리</t>
  </si>
  <si>
    <t>데이터 정책</t>
  </si>
  <si>
    <t>HBMB-065</t>
  </si>
  <si>
    <t>Contact</t>
  </si>
  <si>
    <t>문의/제휴 이메일/폼 구축</t>
  </si>
  <si>
    <t>HBMB-066</t>
  </si>
  <si>
    <t>Ad Safety</t>
  </si>
  <si>
    <t>광고/결과 문구 리스크 체크(과장/의학 표현 금지)</t>
  </si>
  <si>
    <t>문구 가이드</t>
  </si>
  <si>
    <t>HBMB-067</t>
  </si>
  <si>
    <t>Creators</t>
  </si>
  <si>
    <t>마이크로 인플루언서/크리에이터 협업 리스트업</t>
  </si>
  <si>
    <t>리스트 50</t>
  </si>
  <si>
    <t>HBMB-068</t>
    <phoneticPr fontId="5" type="noConversion"/>
  </si>
  <si>
    <t>Communities</t>
  </si>
  <si>
    <t>커뮤니티 배포 가이드(카페/오픈채팅 등) 작성</t>
  </si>
  <si>
    <t>배포 가이드</t>
  </si>
  <si>
    <t>HBMB-069</t>
  </si>
  <si>
    <t>Launch</t>
  </si>
  <si>
    <t>랜딩→미니→본테스트→결과 스모크 테스트</t>
  </si>
  <si>
    <t>스모크 OK</t>
  </si>
  <si>
    <t>HBMB-070</t>
  </si>
  <si>
    <t>GA4/픽셀 이벤트 실시간 수집 확인</t>
  </si>
  <si>
    <t>수집 OK</t>
  </si>
  <si>
    <t>HBMB-071</t>
  </si>
  <si>
    <t>광고 랜딩 URL/UTM/픽셀 매칭 최종 확인</t>
  </si>
  <si>
    <t>매칭 OK</t>
  </si>
  <si>
    <t>HBMB-072</t>
  </si>
  <si>
    <t>정책 페이지/문의 채널 공개 상태 확인</t>
  </si>
  <si>
    <t>공개 OK</t>
  </si>
  <si>
    <t>1-1_ID_Execution_Schedule</t>
  </si>
  <si>
    <t>실행순서</t>
    <phoneticPr fontId="5" type="noConversion"/>
  </si>
  <si>
    <t>Phase</t>
  </si>
  <si>
    <t>Task</t>
  </si>
  <si>
    <t>필요한 자료</t>
  </si>
  <si>
    <t>업무 내용</t>
  </si>
  <si>
    <t>완료조건</t>
    <phoneticPr fontId="5" type="noConversion"/>
  </si>
  <si>
    <t>예상 시간(시간)</t>
  </si>
  <si>
    <t>병행 가능 ID</t>
  </si>
  <si>
    <t>기획 메모, 타깃 정의, 기존 문장 자료</t>
  </si>
  <si>
    <t>광고/입구 관점에서 문장·구조 설계 후 최소 2안 도출</t>
  </si>
  <si>
    <t>광고 또는 랜딩에 즉시 사용 가능 수준으로 확정</t>
  </si>
  <si>
    <t>동일 Phase의 AD 태그 ID</t>
  </si>
  <si>
    <t>Not Started</t>
  </si>
  <si>
    <t>랜딩 구조, 퍼널 데이터, 이벤트 정의</t>
  </si>
  <si>
    <t>유입→테스트 연결 구조 설계 및 전환 개선안 작성</t>
  </si>
  <si>
    <t>시작률 측정 가능 + CTA 명확히 1개로 정리</t>
  </si>
  <si>
    <t>인접 AD 및 MVP 태그 ID</t>
  </si>
  <si>
    <t>질문지/UX 구조, 기능 정의서, 디자인 시안</t>
  </si>
  <si>
    <t>제품 안정성 확보 또는 UX 개선 작업 수행</t>
  </si>
  <si>
    <t>QA 통과 및 오류율 0 기준 충족</t>
  </si>
  <si>
    <t>동일 Phase의 MVP 태그 ID</t>
  </si>
  <si>
    <t>HBMB-068</t>
  </si>
  <si>
    <t>2_Workstreams</t>
  </si>
  <si>
    <t>목표</t>
  </si>
  <si>
    <t>주요 산출물</t>
  </si>
  <si>
    <t>성공 기준(KPI)</t>
  </si>
  <si>
    <t>비고</t>
  </si>
  <si>
    <t>서비스 정의/차별화 명확화</t>
  </si>
  <si>
    <t>정의 문장, 차별 포인트</t>
  </si>
  <si>
    <t>카피 일관성</t>
  </si>
  <si>
    <t>표현 일관성/공유 문장 강화</t>
  </si>
  <si>
    <t>카피 킷, 톤 가이드</t>
  </si>
  <si>
    <t>공유 문장 반응</t>
  </si>
  <si>
    <t>진입/완료 최적화</t>
  </si>
  <si>
    <t>랜딩, 미니질문</t>
  </si>
  <si>
    <t>시작률/완료율</t>
  </si>
  <si>
    <t>설명 최소</t>
  </si>
  <si>
    <t>공감·공유되는 결과</t>
  </si>
  <si>
    <t>견종카드, 결과페이지</t>
  </si>
  <si>
    <t>공유율/재방문</t>
  </si>
  <si>
    <t>제품 구현/안정성</t>
  </si>
  <si>
    <t>UI/로직/QA</t>
  </si>
  <si>
    <t>오류율↓</t>
  </si>
  <si>
    <t>AI/검색 출처화</t>
  </si>
  <si>
    <t>/en 설명, 메타/OG</t>
  </si>
  <si>
    <t>노출/인용</t>
  </si>
  <si>
    <t>퍼널 가시화</t>
  </si>
  <si>
    <t>이벤트, 대시보드</t>
  </si>
  <si>
    <t>측정 가능</t>
  </si>
  <si>
    <t>신뢰/확산 자산</t>
  </si>
  <si>
    <t>네이버 글, UGC</t>
  </si>
  <si>
    <t>검색/공유</t>
  </si>
  <si>
    <t>유입 실험/확장</t>
  </si>
  <si>
    <t>캠페인, 소재</t>
  </si>
  <si>
    <t>CTR/CPA</t>
  </si>
  <si>
    <t>리스크 최소</t>
  </si>
  <si>
    <t>약관/정책</t>
  </si>
  <si>
    <t>이슈 0</t>
  </si>
  <si>
    <t>안정 운영</t>
  </si>
  <si>
    <t>도메인, SSL</t>
  </si>
  <si>
    <t>다운타임 최소</t>
  </si>
  <si>
    <t>외부 확산</t>
  </si>
  <si>
    <t>크리에이터/커뮤니티</t>
  </si>
  <si>
    <t>협업 성과</t>
  </si>
  <si>
    <t>3_Content_Library</t>
  </si>
  <si>
    <t>Asset ID</t>
  </si>
  <si>
    <t>Type</t>
  </si>
  <si>
    <t>Language</t>
  </si>
  <si>
    <t>Channel</t>
  </si>
  <si>
    <t>Format</t>
  </si>
  <si>
    <t>Hook(첫 문장)</t>
  </si>
  <si>
    <t>Body/Script</t>
  </si>
  <si>
    <t>CTA</t>
  </si>
  <si>
    <t>URL/File</t>
  </si>
  <si>
    <t>ASSET-001</t>
  </si>
  <si>
    <t>KO</t>
  </si>
  <si>
    <t>Website</t>
  </si>
  <si>
    <t>Text</t>
  </si>
  <si>
    <t>나는 왜 항상 이런 선택을 할까?</t>
  </si>
  <si>
    <t>랜딩 헤드라인 후보 1</t>
  </si>
  <si>
    <t>3분이면 알 수 있어요</t>
  </si>
  <si>
    <t>ASSET-002</t>
  </si>
  <si>
    <t>Ad Creative</t>
  </si>
  <si>
    <t>Instagram</t>
  </si>
  <si>
    <t>Story</t>
  </si>
  <si>
    <t>이 결과 보고 좀 찔렸습니다…</t>
  </si>
  <si>
    <t>UGC처럼 보이는 1컷 자막</t>
  </si>
  <si>
    <t>바로 해보기</t>
  </si>
  <si>
    <t>ASSET-003</t>
  </si>
  <si>
    <t>Blog Post</t>
  </si>
  <si>
    <t>Article</t>
  </si>
  <si>
    <t>사람들이 ‘이 문항’에서 멈추는 이유</t>
  </si>
  <si>
    <t>문항 의도/반응 중심</t>
  </si>
  <si>
    <t>테스트 해보기</t>
  </si>
  <si>
    <t>ASSET-004</t>
  </si>
  <si>
    <t>EN</t>
  </si>
  <si>
    <t>What is HelloBrown–ByBrown?</t>
  </si>
  <si>
    <t>정의/구조/비교/원리 설명</t>
  </si>
  <si>
    <t>Try the test</t>
  </si>
  <si>
    <t>AI용 1편</t>
  </si>
  <si>
    <t>4_Ads_Setup</t>
  </si>
  <si>
    <t>Platform</t>
  </si>
  <si>
    <t>Account/Business</t>
  </si>
  <si>
    <t>Pixel/Tag</t>
  </si>
  <si>
    <t>Objective</t>
  </si>
  <si>
    <t>Ad Set/Audience</t>
  </si>
  <si>
    <t>Placement</t>
  </si>
  <si>
    <t>Creative IDs</t>
  </si>
  <si>
    <t>Budget (KRW/day)</t>
  </si>
  <si>
    <t>End</t>
  </si>
  <si>
    <t>Primary KPI</t>
  </si>
  <si>
    <t>Actual</t>
  </si>
  <si>
    <t>당근마켓</t>
    <phoneticPr fontId="5" type="noConversion"/>
  </si>
  <si>
    <t>인스타그램</t>
    <phoneticPr fontId="5" type="noConversion"/>
  </si>
  <si>
    <t>틱톡</t>
    <phoneticPr fontId="5" type="noConversion"/>
  </si>
  <si>
    <t>네이버</t>
    <phoneticPr fontId="5" type="noConversion"/>
  </si>
  <si>
    <t>메타</t>
    <phoneticPr fontId="5" type="noConversion"/>
  </si>
  <si>
    <t>유튜브</t>
    <phoneticPr fontId="5" type="noConversion"/>
  </si>
  <si>
    <t>5_Infra_Domain</t>
  </si>
  <si>
    <t>Category</t>
  </si>
  <si>
    <t>Item</t>
  </si>
  <si>
    <t>Decision/Spec</t>
  </si>
  <si>
    <t>Primary domain</t>
  </si>
  <si>
    <t>.com 우선, 브랜드 일치</t>
  </si>
  <si>
    <t>Subpaths</t>
  </si>
  <si>
    <t>/ko, /en 경로 분리</t>
  </si>
  <si>
    <t>Infra</t>
  </si>
  <si>
    <t>Vercel/Netlify 등 선택</t>
  </si>
  <si>
    <t>Email</t>
  </si>
  <si>
    <t>문의 메일 주소/포워딩</t>
  </si>
  <si>
    <t>SSL/HTTPS</t>
  </si>
  <si>
    <t>자동 갱신</t>
  </si>
  <si>
    <t>Sentry/로그/알림</t>
  </si>
  <si>
    <t>6_Analytics_Plan</t>
  </si>
  <si>
    <t>Event Name</t>
  </si>
  <si>
    <t>Trigger</t>
  </si>
  <si>
    <t>Where</t>
  </si>
  <si>
    <t>Parameters</t>
  </si>
  <si>
    <t>Priority</t>
  </si>
  <si>
    <t>landing_view</t>
  </si>
  <si>
    <t>랜딩 페이지 로드</t>
  </si>
  <si>
    <t>Client</t>
  </si>
  <si>
    <t>utm_source, utm_campaign, lang</t>
  </si>
  <si>
    <t>Y</t>
  </si>
  <si>
    <t>landing_cta_click</t>
  </si>
  <si>
    <t>랜딩 CTA 클릭(테스트 시작)</t>
  </si>
  <si>
    <t>cta_id, position</t>
  </si>
  <si>
    <t>mini_quiz_start</t>
  </si>
  <si>
    <t>미니 질문 시작</t>
  </si>
  <si>
    <t>variant_id</t>
  </si>
  <si>
    <t>mini_quiz_complete</t>
  </si>
  <si>
    <t>미니 질문 완료</t>
  </si>
  <si>
    <t>variant_id, bucket</t>
  </si>
  <si>
    <t>test_start</t>
  </si>
  <si>
    <t>본 테스트 시작</t>
  </si>
  <si>
    <t>version, lang</t>
  </si>
  <si>
    <t>test_complete</t>
  </si>
  <si>
    <t>본 테스트 완료</t>
  </si>
  <si>
    <t>result_type</t>
  </si>
  <si>
    <t>result_view</t>
  </si>
  <si>
    <t>결과 페이지 노출</t>
  </si>
  <si>
    <t>share_click</t>
  </si>
  <si>
    <t>공유 버튼 클릭</t>
  </si>
  <si>
    <t>channel</t>
  </si>
  <si>
    <t>7_Launch_Checklist</t>
  </si>
  <si>
    <t>Area</t>
  </si>
  <si>
    <t>Checklist Item</t>
  </si>
  <si>
    <t>도메인/SSL 정상(https)</t>
  </si>
  <si>
    <t>Landing</t>
  </si>
  <si>
    <t>랜딩 3초 이해/CTA 동작</t>
  </si>
  <si>
    <t>Test</t>
  </si>
  <si>
    <t>본 테스트 완료까지 오류 없음</t>
  </si>
  <si>
    <t>Results</t>
  </si>
  <si>
    <t>결과 페이지/OG 공유 정상</t>
  </si>
  <si>
    <t>Analytics</t>
  </si>
  <si>
    <t>GA4 이벤트 수집 확인</t>
  </si>
  <si>
    <t>Meta Pixel 이벤트 수집 확인</t>
  </si>
  <si>
    <t>Ads</t>
  </si>
  <si>
    <t>UTM/캠페인 룰 적용</t>
  </si>
  <si>
    <t>Legal</t>
  </si>
  <si>
    <t>약관/개인정보 페이지 공개</t>
  </si>
  <si>
    <t>8_Ad_Workstream_Map</t>
  </si>
  <si>
    <t>광고 관점 서비스 정의·차별화</t>
  </si>
  <si>
    <t>광고용 정의 문장, 차별 포인트</t>
  </si>
  <si>
    <t>MVP 정의와 동일하되 톤은 더 직관</t>
  </si>
  <si>
    <t>광고용 표현 통일·공유 문장 발굴</t>
  </si>
  <si>
    <t>광고 카피 킷, 질문형 문장</t>
  </si>
  <si>
    <t>CTR, 저장/공유 반응</t>
  </si>
  <si>
    <t>감정·질문 중심</t>
  </si>
  <si>
    <t>광고 유입 진입·시작 최적화</t>
  </si>
  <si>
    <t>광고 랜딩, 미니 질문지</t>
  </si>
  <si>
    <t>시작률, 이탈률 ↓</t>
  </si>
  <si>
    <t>설명 최소, 즉시 행동</t>
  </si>
  <si>
    <t>광고 유입도 공감하는 결과 경험</t>
  </si>
  <si>
    <t>견종카드(광고용 문장), 결과페이지</t>
  </si>
  <si>
    <t>공유율, 재방문</t>
  </si>
  <si>
    <t>MVP 결과 재사용</t>
  </si>
  <si>
    <t>광고 트래픽 안정 수용</t>
  </si>
  <si>
    <t>랜딩/테스트 성능, QA</t>
  </si>
  <si>
    <t>오류율 ↓, 로딩속도</t>
  </si>
  <si>
    <t>구조 변경 최소</t>
  </si>
  <si>
    <t>광고 후 검색·AI 확인 대응</t>
  </si>
  <si>
    <t>검색 노출, AI 인용</t>
  </si>
  <si>
    <t>직접 유입보단 보조</t>
  </si>
  <si>
    <t>광고 퍼널 명확한 측정</t>
  </si>
  <si>
    <t>광고 이벤트, 대시보드</t>
  </si>
  <si>
    <t>CTR/시작률 측정 가능</t>
  </si>
  <si>
    <t>MVP 데이터와 연결</t>
  </si>
  <si>
    <t>광고 소재 원천 확보</t>
  </si>
  <si>
    <t>당근 글, 네이버 글, UGC</t>
  </si>
  <si>
    <t>댓글/반응/재사용</t>
  </si>
  <si>
    <t>광고 실험 재료</t>
  </si>
  <si>
    <t>질문 기반 유입 실험·확장</t>
  </si>
  <si>
    <t>캠페인, 광고 소재</t>
  </si>
  <si>
    <t>CTR, CPA(시작)</t>
  </si>
  <si>
    <t>소액·다변량 실험</t>
  </si>
  <si>
    <t>Operations / Legal</t>
  </si>
  <si>
    <t>광고 리스크 방지</t>
  </si>
  <si>
    <t>광고 문구 가이드</t>
  </si>
  <si>
    <t>과장·의학 표현 금지</t>
  </si>
  <si>
    <t>Domain / Infra / Security</t>
  </si>
  <si>
    <t>광고 트래픽 안정성</t>
  </si>
  <si>
    <t>도메인, SSL, 트래픽 대응</t>
  </si>
  <si>
    <t>MVP와 공용</t>
  </si>
  <si>
    <t>비광고 확산 테스트</t>
  </si>
  <si>
    <t>당근/커뮤니티/크리에이터</t>
  </si>
  <si>
    <t>협업 반응</t>
  </si>
  <si>
    <t>유료 광고 전 단계</t>
  </si>
  <si>
    <t>KPI Map</t>
    <phoneticPr fontId="5" type="noConversion"/>
  </si>
  <si>
    <t>단계</t>
  </si>
  <si>
    <t>프로젝트</t>
  </si>
  <si>
    <t>핵심 질문</t>
  </si>
  <si>
    <t>KPI</t>
  </si>
  <si>
    <t>판단 포인트</t>
  </si>
  <si>
    <t>KPI 위치로 바로 구분 가능</t>
  </si>
  <si>
    <t>노출</t>
  </si>
  <si>
    <t>질문이 멈추게 하는가</t>
  </si>
  <si>
    <t>CTR</t>
  </si>
  <si>
    <t>1% 이상</t>
  </si>
  <si>
    <r>
      <t xml:space="preserve">CTR 낮음 → </t>
    </r>
    <r>
      <rPr>
        <sz val="10"/>
        <color theme="1"/>
        <rFont val="맑은 고딕"/>
        <family val="3"/>
        <charset val="129"/>
        <scheme val="minor"/>
      </rPr>
      <t>광고 문장 문제 (AD 수정)</t>
    </r>
  </si>
  <si>
    <t>클릭</t>
  </si>
  <si>
    <t>더 알고 싶어 하는가</t>
  </si>
  <si>
    <t>랜딩 진입률</t>
  </si>
  <si>
    <t>클릭 대비 이탈</t>
  </si>
  <si>
    <t>시작</t>
  </si>
  <si>
    <t>AD → MVP</t>
  </si>
  <si>
    <t>“해볼까?”가 생겼는가</t>
  </si>
  <si>
    <t>테스트 시작률</t>
  </si>
  <si>
    <t>40%+</t>
  </si>
  <si>
    <r>
      <t xml:space="preserve">시작률 낮음 → </t>
    </r>
    <r>
      <rPr>
        <sz val="10"/>
        <color theme="1"/>
        <rFont val="맑은 고딕"/>
        <family val="3"/>
        <charset val="129"/>
        <scheme val="minor"/>
      </rPr>
      <t>랜딩/미니질문 문제</t>
    </r>
  </si>
  <si>
    <t>완료</t>
  </si>
  <si>
    <t>끝까지 해보는가</t>
  </si>
  <si>
    <t>완료율</t>
  </si>
  <si>
    <t>60%+</t>
  </si>
  <si>
    <r>
      <t xml:space="preserve">완료율 낮음 → </t>
    </r>
    <r>
      <rPr>
        <sz val="10"/>
        <color theme="1"/>
        <rFont val="맑은 고딕"/>
        <family val="3"/>
        <charset val="129"/>
        <scheme val="minor"/>
      </rPr>
      <t>질문 UX 문제 (MVP)</t>
    </r>
  </si>
  <si>
    <t>공감</t>
  </si>
  <si>
    <t>“나 얘기다” 느낌</t>
  </si>
  <si>
    <t>결과 체류</t>
  </si>
  <si>
    <t>결과 페이지 체류</t>
  </si>
  <si>
    <t>공유</t>
  </si>
  <si>
    <t>남에게 보내고 싶은가</t>
  </si>
  <si>
    <t>공유율</t>
  </si>
  <si>
    <t>캡처/공유</t>
  </si>
  <si>
    <r>
      <t xml:space="preserve">공유 없음 → </t>
    </r>
    <r>
      <rPr>
        <sz val="10"/>
        <color theme="1"/>
        <rFont val="맑은 고딕"/>
        <family val="3"/>
        <charset val="129"/>
        <scheme val="minor"/>
      </rPr>
      <t>견종카드 문장 문제 (MVP)</t>
    </r>
  </si>
  <si>
    <t>재방문</t>
  </si>
  <si>
    <t>다시 보고 싶은가</t>
  </si>
  <si>
    <t>재방문율</t>
  </si>
  <si>
    <t>7일 내 재방문</t>
  </si>
  <si>
    <t>9.Ad_Mvp_Operation</t>
  </si>
  <si>
    <t>당근 → 인스타 → MVP 실제 운영 플로우</t>
  </si>
  <si>
    <t>🔄 전체 플로우 한눈에</t>
  </si>
  <si>
    <t>[ 당근마켓 ]</t>
  </si>
  <si>
    <t xml:space="preserve">   ↓</t>
  </si>
  <si>
    <t>질문/공감 반응 수집</t>
  </si>
  <si>
    <t>[ 인스타 광고 ]</t>
  </si>
  <si>
    <t>검증된 문장 확장</t>
  </si>
  <si>
    <t>[ 랜딩/미니질문 ]</t>
  </si>
  <si>
    <t>[ MVP 테스트 ]</t>
  </si>
  <si>
    <t>[ 결과 공유/재방문 ]</t>
  </si>
  <si>
    <t>🥕 1단계: 당근마켓 (질문 발굴소)</t>
  </si>
  <si>
    <t>항목</t>
  </si>
  <si>
    <t>내용</t>
  </si>
  <si>
    <t>목적</t>
  </si>
  <si>
    <t>사람 말투·공감 질문 수집</t>
  </si>
  <si>
    <t>방식</t>
  </si>
  <si>
    <t>동네 글 / 경험 공유</t>
  </si>
  <si>
    <t>댓글, 쪽지, 공감 반응</t>
  </si>
  <si>
    <t>산출물</t>
  </si>
  <si>
    <t>“사람이 멈춘 문장”</t>
  </si>
  <si>
    <r>
      <rPr>
        <sz val="10"/>
        <color theme="1"/>
        <rFont val="Segoe UI Emoji"/>
        <family val="2"/>
      </rPr>
      <t>👉</t>
    </r>
    <r>
      <rPr>
        <sz val="10"/>
        <color theme="1"/>
        <rFont val="맑은 고딕"/>
        <family val="3"/>
        <charset val="129"/>
        <scheme val="minor"/>
      </rPr>
      <t xml:space="preserve"> 여기서는 클릭 안 나와도 성공</t>
    </r>
    <r>
      <rPr>
        <sz val="10"/>
        <color theme="1"/>
        <rFont val="맑은 고딕"/>
        <family val="2"/>
        <scheme val="minor"/>
      </rPr>
      <t>,말투가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핵심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자산</t>
    </r>
    <phoneticPr fontId="5" type="noConversion"/>
  </si>
  <si>
    <t>📸 2단계: 인스타 광고 (확장 실험)</t>
  </si>
  <si>
    <t>질문의 확장성 검증</t>
  </si>
  <si>
    <t>질문형 텍스트/UGC</t>
  </si>
  <si>
    <t>CTR, 시작률</t>
  </si>
  <si>
    <t>살아남은 광고 문구</t>
  </si>
  <si>
    <r>
      <rPr>
        <sz val="10"/>
        <color theme="1"/>
        <rFont val="Segoe UI Emoji"/>
        <family val="2"/>
      </rPr>
      <t>👉</t>
    </r>
    <r>
      <rPr>
        <sz val="10"/>
        <color theme="1"/>
        <rFont val="맑은 고딕"/>
        <family val="3"/>
        <charset val="129"/>
        <scheme val="minor"/>
      </rPr>
      <t xml:space="preserve"> 당근에서 반응 있던 문장만 사용</t>
    </r>
    <r>
      <rPr>
        <sz val="10"/>
        <color theme="1"/>
        <rFont val="맑은 고딕"/>
        <family val="2"/>
        <scheme val="minor"/>
      </rPr>
      <t>,하루</t>
    </r>
    <r>
      <rPr>
        <sz val="10"/>
        <color theme="1"/>
        <rFont val="Calibri"/>
        <family val="2"/>
      </rPr>
      <t xml:space="preserve"> 2~3</t>
    </r>
    <r>
      <rPr>
        <sz val="10"/>
        <color theme="1"/>
        <rFont val="맑은 고딕"/>
        <family val="2"/>
        <scheme val="minor"/>
      </rPr>
      <t>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소액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실험</t>
    </r>
    <phoneticPr fontId="5" type="noConversion"/>
  </si>
  <si>
    <t>🎯 3단계: 랜딩 &amp; 미니질문 (입구 필터)</t>
  </si>
  <si>
    <t>“해볼까?” 유도</t>
  </si>
  <si>
    <t>구성</t>
  </si>
  <si>
    <t>질문 1줄 + 미니질문</t>
  </si>
  <si>
    <t>시작률</t>
  </si>
  <si>
    <t>진입 최적화 구조</t>
  </si>
  <si>
    <r>
      <rPr>
        <sz val="10"/>
        <color theme="1"/>
        <rFont val="Segoe UI Emoji"/>
        <family val="2"/>
      </rPr>
      <t>👉</t>
    </r>
    <r>
      <rPr>
        <sz val="10"/>
        <color theme="1"/>
        <rFont val="맑은 고딕"/>
        <family val="3"/>
        <charset val="129"/>
        <scheme val="minor"/>
      </rPr>
      <t xml:space="preserve"> 설명 </t>
    </r>
    <r>
      <rPr>
        <sz val="10"/>
        <color theme="1"/>
        <rFont val="Segoe UI Emoji"/>
        <family val="2"/>
      </rPr>
      <t>❌</t>
    </r>
    <r>
      <rPr>
        <sz val="10"/>
        <color theme="1"/>
        <rFont val="맑은 고딕"/>
        <family val="2"/>
        <scheme val="minor"/>
      </rPr>
      <t>,설득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Segoe UI Symbol"/>
        <family val="2"/>
      </rPr>
      <t>❌</t>
    </r>
    <r>
      <rPr>
        <sz val="10"/>
        <color theme="1"/>
        <rFont val="맑은 고딕"/>
        <family val="2"/>
        <scheme val="minor"/>
      </rPr>
      <t>,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즉시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맑은 고딕"/>
        <family val="2"/>
        <scheme val="minor"/>
      </rPr>
      <t>행동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Segoe UI Symbol"/>
        <family val="2"/>
      </rPr>
      <t>⭕</t>
    </r>
    <phoneticPr fontId="5" type="noConversion"/>
  </si>
  <si>
    <t>🐶 4단계: MVP 테스트 &amp; 결과</t>
  </si>
  <si>
    <t>공감·신뢰 검증</t>
  </si>
  <si>
    <t>본 질문지, 견종카드</t>
  </si>
  <si>
    <t>완료율, 공유율</t>
  </si>
  <si>
    <t>공유되는 결과 문장</t>
  </si>
  <si>
    <r>
      <t xml:space="preserve">👉 여기서 </t>
    </r>
    <r>
      <rPr>
        <sz val="10"/>
        <color theme="1"/>
        <rFont val="맑은 고딕"/>
        <family val="3"/>
        <charset val="129"/>
        <scheme val="minor"/>
      </rPr>
      <t>제품 가치 검증</t>
    </r>
  </si>
  <si>
    <t>👉 AD 프로젝트는 여기까진 손대지 않음</t>
  </si>
  <si>
    <t>🔁 5단계: 다시 AD로 환류</t>
  </si>
  <si>
    <t>환류 포인트</t>
  </si>
  <si>
    <t>활용</t>
  </si>
  <si>
    <t>공유 문장</t>
  </si>
  <si>
    <t>신규 광고 카피</t>
  </si>
  <si>
    <t>인기 견종</t>
  </si>
  <si>
    <t>타겟 메시지</t>
  </si>
  <si>
    <t>이탈 구간</t>
  </si>
  <si>
    <t>랜딩/질문 수정</t>
  </si>
  <si>
    <r>
      <t xml:space="preserve">👉 </t>
    </r>
    <r>
      <rPr>
        <sz val="10"/>
        <color theme="1"/>
        <rFont val="맑은 고딕"/>
        <family val="3"/>
        <charset val="129"/>
        <scheme val="minor"/>
      </rPr>
      <t>MVP → AD로 데이터 역수입</t>
    </r>
  </si>
  <si>
    <t>AD 프로젝트는 “입구 실험실”,</t>
  </si>
  <si>
    <t>MVP 프로젝트는 “내부 검증소”.</t>
  </si>
  <si>
    <t>KPI 하나의 지도 위에서 각자 역할만 다르게 움직입니다.</t>
    <phoneticPr fontId="5" type="noConversion"/>
  </si>
  <si>
    <r>
      <t xml:space="preserve">📌 </t>
    </r>
    <r>
      <rPr>
        <sz val="10"/>
        <color theme="1"/>
        <rFont val="맑은 고딕"/>
        <family val="3"/>
        <charset val="129"/>
        <scheme val="minor"/>
      </rPr>
      <t>P0 (이번 주) 실행 KPI만 뽑은 미니 대시보드</t>
    </r>
  </si>
  <si>
    <r>
      <t xml:space="preserve">📌 당근 글 → 인스타 광고 → 랜딩 카피 </t>
    </r>
    <r>
      <rPr>
        <sz val="10"/>
        <color theme="1"/>
        <rFont val="맑은 고딕"/>
        <family val="3"/>
        <charset val="129"/>
        <scheme val="minor"/>
      </rPr>
      <t>실제 문장 변환 예시</t>
    </r>
  </si>
  <si>
    <r>
      <t xml:space="preserve">📌 “이 KPI 떨어지면 어디 고칠지” </t>
    </r>
    <r>
      <rPr>
        <sz val="10"/>
        <color theme="1"/>
        <rFont val="맑은 고딕"/>
        <family val="3"/>
        <charset val="129"/>
        <scheme val="minor"/>
      </rPr>
      <t>즉각 대응표</t>
    </r>
  </si>
  <si>
    <t>어디까지 더 넣을지, 실장뉨이 결정만 해주시면 됩니다.</t>
  </si>
  <si>
    <t>10.KPI_Prescription</t>
  </si>
  <si>
    <t>진단순서</t>
    <phoneticPr fontId="5" type="noConversion"/>
  </si>
  <si>
    <t>TR → 랜딩 → 시작률 → 완료율 → 공유율 → 재방문</t>
  </si>
  <si>
    <t>(아래 지표가 나쁘면, 위에서 원인을 먼저 찾는 게 80% 정답)</t>
  </si>
  <si>
    <t>대표 증상</t>
  </si>
  <si>
    <t>CTR &lt; 1.0% (스토리/릴스는 &lt; 0.7%도 흔함)</t>
  </si>
  <si>
    <t>1차 원인</t>
  </si>
  <si>
    <r>
      <t>문장(훅)이 약함</t>
    </r>
    <r>
      <rPr>
        <sz val="10"/>
        <color theme="1"/>
        <rFont val="맑은 고딕"/>
        <family val="2"/>
        <scheme val="minor"/>
      </rPr>
      <t xml:space="preserve"> / 광고 티 남 / 타겟 과도하게 좁음</t>
    </r>
  </si>
  <si>
    <t>체크 질문</t>
  </si>
  <si>
    <t>(1) 첫 1초에 “나 얘기”가 보이나? (2) 브랜드/설명 문장이 앞에 있나? (3) 이미지/자막이 너무 ‘광고’ 같나?</t>
  </si>
  <si>
    <t>즉시 처방</t>
  </si>
  <si>
    <r>
      <t>브랜드명·설명 삭제</t>
    </r>
    <r>
      <rPr>
        <sz val="10"/>
        <color theme="1"/>
        <rFont val="맑은 고딕"/>
        <family val="2"/>
        <scheme val="minor"/>
      </rPr>
      <t xml:space="preserve">, 질문형 1문장으로 시작 / “들킨 느낌” 톤으로 변경 / 소재를 3~5개로 늘려 </t>
    </r>
    <r>
      <rPr>
        <sz val="10"/>
        <color theme="1"/>
        <rFont val="맑은 고딕"/>
        <family val="3"/>
        <charset val="129"/>
        <scheme val="minor"/>
      </rPr>
      <t>동시 테스트</t>
    </r>
  </si>
  <si>
    <t>바꿔야 할 요소</t>
  </si>
  <si>
    <t>훅 문장(1줄), 썸네일/첫 프레임, 자막 1줄, CTA 문구(“해보기”만)</t>
  </si>
  <si>
    <t>실험 방법</t>
  </si>
  <si>
    <r>
      <t xml:space="preserve">1) </t>
    </r>
    <r>
      <rPr>
        <sz val="10"/>
        <color theme="1"/>
        <rFont val="맑은 고딕"/>
        <family val="3"/>
        <charset val="129"/>
        <scheme val="minor"/>
      </rPr>
      <t>문장만 다른 소재 5개</t>
    </r>
    <r>
      <rPr>
        <sz val="10"/>
        <color theme="1"/>
        <rFont val="맑은 고딕"/>
        <family val="2"/>
        <scheme val="minor"/>
      </rPr>
      <t xml:space="preserve"> 동시 집행 2) 24~48시간 후 CTR 상위 2개만 남김</t>
    </r>
  </si>
  <si>
    <t>성공 기준</t>
  </si>
  <si>
    <t>CTR 1%+ (또는 계정/업종 평균 대비 상위)</t>
  </si>
  <si>
    <t>담당</t>
  </si>
  <si>
    <t>우선순위</t>
  </si>
  <si>
    <t>A. CTR 낮음 (AD) — “멈추게 못했다”</t>
  </si>
  <si>
    <t>B. 클릭은 나오는데 랜딩 이탈 큼 (AD↔랜딩) — “기대와 실제가 달랐다”</t>
  </si>
  <si>
    <t>CTR은 괜찮은데 랜딩 체류 짧고 바로 나감</t>
  </si>
  <si>
    <t>광고가 만든 기대와 랜딩 첫 화면이 불일치 / 로딩 느림 / 첫 화면이 복잡</t>
  </si>
  <si>
    <t>(1) 광고 문장과 랜딩 헤드라인이 같은 말인가? (2) 로딩 3초 넘나? (3) 스크롤 강요하나?</t>
  </si>
  <si>
    <r>
      <t xml:space="preserve">랜딩 첫 화면을 </t>
    </r>
    <r>
      <rPr>
        <sz val="10"/>
        <color theme="1"/>
        <rFont val="맑은 고딕"/>
        <family val="3"/>
        <charset val="129"/>
        <scheme val="minor"/>
      </rPr>
      <t>광고 문장 그대로</t>
    </r>
    <r>
      <rPr>
        <sz val="10"/>
        <color theme="1"/>
        <rFont val="맑은 고딕"/>
        <family val="2"/>
        <scheme val="minor"/>
      </rPr>
      <t xml:space="preserve"> 복붙 수준으로 맞춤 / CTA 버튼을 </t>
    </r>
    <r>
      <rPr>
        <sz val="10"/>
        <color theme="1"/>
        <rFont val="맑은 고딕"/>
        <family val="3"/>
        <charset val="129"/>
        <scheme val="minor"/>
      </rPr>
      <t>첫 화면에 고정</t>
    </r>
    <r>
      <rPr>
        <sz val="10"/>
        <color theme="1"/>
        <rFont val="맑은 고딕"/>
        <family val="2"/>
        <scheme val="minor"/>
      </rPr>
      <t xml:space="preserve"> / 이미지·텍스트 줄임</t>
    </r>
  </si>
  <si>
    <t>H1(첫 문장), CTA 버튼 위치/카피, 첫 화면 구성</t>
  </si>
  <si>
    <t>광고 1개당 랜딩 1개 매칭(문장 동일) / 로딩 속도 점검(LCP)</t>
  </si>
  <si>
    <t>클릭 대비 랜딩 이탈 감소, 스크롤 없이 CTA 클릭 증가</t>
  </si>
  <si>
    <t>AD + MVP(랜딩)</t>
  </si>
  <si>
    <t>C. 시작률 낮음 (AD→MVP) — “해볼까?가 안 생겼다”</t>
  </si>
  <si>
    <r>
      <t xml:space="preserve">랜딩 방문은 있는데 </t>
    </r>
    <r>
      <rPr>
        <sz val="10"/>
        <color theme="1"/>
        <rFont val="맑은 고딕"/>
        <family val="3"/>
        <charset val="129"/>
        <scheme val="minor"/>
      </rPr>
      <t>테스트 시작률</t>
    </r>
    <r>
      <rPr>
        <sz val="10"/>
        <color theme="1"/>
        <rFont val="맑은 고딕"/>
        <family val="2"/>
        <scheme val="minor"/>
      </rPr>
      <t xml:space="preserve"> 낮음 (예: &lt; 30~40%)</t>
    </r>
  </si>
  <si>
    <t>CTA가 약함 / ‘뭘 얻는지’ 불명확 / 미니질문이 부담 / 회원가입/정보 입력 요구</t>
  </si>
  <si>
    <t>(1) ‘몇 분/무엇을 얻는지’ 한 줄로 보이나? (2) 시작 버튼이 눈에 띄나? (3) 시작 전에 설명이 너무 길지 않나?</t>
  </si>
  <si>
    <r>
      <t xml:space="preserve">“3분/무료/즉시 결과”를 첫 화면에 박기 / CTA를 </t>
    </r>
    <r>
      <rPr>
        <sz val="10"/>
        <color theme="1"/>
        <rFont val="맑은 고딕"/>
        <family val="3"/>
        <charset val="129"/>
        <scheme val="minor"/>
      </rPr>
      <t>1개로</t>
    </r>
    <r>
      <rPr>
        <sz val="10"/>
        <color theme="1"/>
        <rFont val="맑은 고딕"/>
        <family val="2"/>
        <scheme val="minor"/>
      </rPr>
      <t xml:space="preserve"> / 미니질문은 3~5개, 결과 없음(다음으로 넘기는 장치)</t>
    </r>
  </si>
  <si>
    <t>CTA 카피(“바로 시작”), 소요시간 표기, 미니질문 수, 시작 전 장애물 제거</t>
  </si>
  <si>
    <t>랜딩 A/B: (A) 미니질문 없음 (B) 미니질문 3개 / CTA 문구 A/B</t>
  </si>
  <si>
    <t>시작률 40%+</t>
  </si>
  <si>
    <t>MVP(랜딩/미니질문)</t>
  </si>
  <si>
    <t>D. 완료율 낮음 (MVP) — “중간에 지쳤다/불안해졌다”</t>
  </si>
  <si>
    <r>
      <t xml:space="preserve">테스트 시작은 하는데 </t>
    </r>
    <r>
      <rPr>
        <sz val="10"/>
        <color theme="1"/>
        <rFont val="맑은 고딕"/>
        <family val="3"/>
        <charset val="129"/>
        <scheme val="minor"/>
      </rPr>
      <t>완료율</t>
    </r>
    <r>
      <rPr>
        <sz val="10"/>
        <color theme="1"/>
        <rFont val="맑은 고딕"/>
        <family val="2"/>
        <scheme val="minor"/>
      </rPr>
      <t xml:space="preserve"> 낮음 (예: &lt; 50~60%)</t>
    </r>
  </si>
  <si>
    <t>문항 수/길이 부담, 문장 난해, 진행감 부족, 중간에 ‘이게 맞나?’ 의심</t>
  </si>
  <si>
    <t>(1) 몇 문항인지 초반에 알려주나? (2) 진행률이 보이나? (3) 질문이 길거나 애매한 문장이 많은가? (4) 모바일에서 피곤한 UI인가?</t>
  </si>
  <si>
    <t>진행률/남은 문항 표시 / 문항 문장 짧게 / 중간 “한 줄 공감” 삽입(예: “여기서 많이들 갈립니다”) / 로딩·버튼 터치감 개선</t>
  </si>
  <si>
    <t>문항 길이, UX(진행바/다음 버튼), 중간 이탈 구간 문항 재작성</t>
  </si>
  <si>
    <r>
      <t>이탈 Top 3 문항</t>
    </r>
    <r>
      <rPr>
        <sz val="10"/>
        <color theme="1"/>
        <rFont val="맑은 고딕"/>
        <family val="2"/>
        <scheme val="minor"/>
      </rPr>
      <t>을 찾아 문장만 수정 A/B / 문항 수 10~20% 줄인 버전 테스트</t>
    </r>
  </si>
  <si>
    <t>완료율 60%+</t>
  </si>
  <si>
    <t>MVP(질문 UX)</t>
  </si>
  <si>
    <t>P0~P1</t>
  </si>
  <si>
    <t>E. 결과 체류 짧음 (MVP) — “결과가 밋밋하다”</t>
  </si>
  <si>
    <t>결과 페이지 들어오긴 하는데 바로 나감</t>
  </si>
  <si>
    <t>첫 문장이 약함(“나를 찌르지 못함”) / 결과가 너무 설명형 / 긴 글벽</t>
  </si>
  <si>
    <t>(1) 결과 첫 2줄이 ‘나’로 시작하나? (2) 일상 장면/말투가 있나? (3) 스크롤 압박이 큰가?</t>
  </si>
  <si>
    <r>
      <t xml:space="preserve">결과 상단에 </t>
    </r>
    <r>
      <rPr>
        <sz val="10"/>
        <color theme="1"/>
        <rFont val="맑은 고딕"/>
        <family val="3"/>
        <charset val="129"/>
        <scheme val="minor"/>
      </rPr>
      <t>“캡처용 한 문장”</t>
    </r>
    <r>
      <rPr>
        <sz val="10"/>
        <color theme="1"/>
        <rFont val="맑은 고딕"/>
        <family val="2"/>
        <scheme val="minor"/>
      </rPr>
      <t xml:space="preserve"> 고정 / 3줄 요약 먼저 / 상세는 접기(accordion)</t>
    </r>
  </si>
  <si>
    <t>결과 상단 3줄, 요약 카드, 레이아웃(짧게 읽히게)</t>
  </si>
  <si>
    <t>결과 상단 문장 A/B(찔림 vs 따뜻함)</t>
  </si>
  <si>
    <t>결과 체류 증가, 다음 행동(공유/재시작) 증가</t>
  </si>
  <si>
    <t>F. 공유 없음 (MVP) — “보내고 싶은 문장이 없다”</t>
  </si>
  <si>
    <r>
      <t xml:space="preserve">완료는 하는데 </t>
    </r>
    <r>
      <rPr>
        <sz val="10"/>
        <color theme="1"/>
        <rFont val="맑은 고딕"/>
        <family val="3"/>
        <charset val="129"/>
        <scheme val="minor"/>
      </rPr>
      <t>공유율/캡처</t>
    </r>
    <r>
      <rPr>
        <sz val="10"/>
        <color theme="1"/>
        <rFont val="맑은 고딕"/>
        <family val="2"/>
        <scheme val="minor"/>
      </rPr>
      <t>가 거의 없음</t>
    </r>
  </si>
  <si>
    <t>공유 트리거(한 문장)가 없음 / 공유 버튼이 안 보임 / 공유했을 때 예쁜 OG 카드가 없음</t>
  </si>
  <si>
    <t>(1) ‘친구한테 보내고 싶은 한 문장’이 결과 상단에 있나? (2) 공유 버튼이 1초 안에 보이나? (3) 공유 미리보기(OG)가 매력적인가?</t>
  </si>
  <si>
    <r>
      <t xml:space="preserve">견종카드에 </t>
    </r>
    <r>
      <rPr>
        <sz val="10"/>
        <color theme="1"/>
        <rFont val="맑은 고딕"/>
        <family val="3"/>
        <charset val="129"/>
        <scheme val="minor"/>
      </rPr>
      <t>캡처용 문장 1개 강제 삽입</t>
    </r>
    <r>
      <rPr>
        <sz val="10"/>
        <color theme="1"/>
        <rFont val="맑은 고딕"/>
        <family val="2"/>
        <scheme val="minor"/>
      </rPr>
      <t xml:space="preserve"> / 공유 버튼을 상단 고정 / OG 이미지 자동 생성</t>
    </r>
  </si>
  <si>
    <t>캡처 문장, 공유 버튼 위치, OG 카드 문구/이미지</t>
  </si>
  <si>
    <t>카드 상단 문장 2안 A/B / 공유 버튼 상단 고정 vs 하단</t>
  </si>
  <si>
    <t>공유율 상승(절대값보다 “상승 추세” 중요)</t>
  </si>
  <si>
    <t>MVP(결과/카드) + AD(공유문장 재활용)</t>
  </si>
  <si>
    <t>G. 재방문 낮음 (MVP→AD) — “끝나고 남는 게 없다”</t>
  </si>
  <si>
    <t>공유도 약하고 재방문도 없음</t>
  </si>
  <si>
    <t>‘다음 행동’이 없음(추천/변형/비교) / 결과가 너무 닫힌 엔딩</t>
  </si>
  <si>
    <t>(1) “다른 견종도 보기/친구와 비교”가 있나? (2) 재실행 이유가 있나?</t>
  </si>
  <si>
    <t>“친구와 비교하기(링크 공유)” / “반대 견종도 보기” / “내 유형의 오해 포인트 3개” 같은 후속 콘텐츠 연결</t>
  </si>
  <si>
    <t>결과 하단 CTA 2안 테스트</t>
  </si>
  <si>
    <t>7일 재방문 증가, 공유 링크 재유입 증가</t>
  </si>
  <si>
    <t>MVP + Content</t>
  </si>
  <si>
    <r>
      <rPr>
        <sz val="10"/>
        <color theme="1"/>
        <rFont val="맑은 고딕"/>
        <family val="3"/>
        <charset val="129"/>
      </rPr>
      <t>▶</t>
    </r>
    <r>
      <rPr>
        <sz val="10"/>
        <color theme="1"/>
        <rFont val="맑은 고딕"/>
        <family val="2"/>
        <scheme val="minor"/>
      </rPr>
      <t>한줄 요약</t>
    </r>
    <phoneticPr fontId="5" type="noConversion"/>
  </si>
  <si>
    <t>문제</t>
  </si>
  <si>
    <t>가장 흔한 원인</t>
  </si>
  <si>
    <t>제일 먼저 바꿀 1개</t>
  </si>
  <si>
    <t>48시간 테스트</t>
  </si>
  <si>
    <t>CTR 낮음</t>
  </si>
  <si>
    <t>훅 약함/광고 티</t>
  </si>
  <si>
    <t>첫 문장(질문형)</t>
  </si>
  <si>
    <t>소재 5개 동시</t>
  </si>
  <si>
    <t>랜딩 이탈</t>
  </si>
  <si>
    <t>기대 불일치</t>
  </si>
  <si>
    <t>랜딩 H1=광고문장</t>
  </si>
  <si>
    <t>매칭 랜딩</t>
  </si>
  <si>
    <t>시작률 낮음</t>
  </si>
  <si>
    <t>CTA 약함/설명 과다</t>
  </si>
  <si>
    <t>CTA 1개+3분 표기</t>
  </si>
  <si>
    <t>미니질문 A/B</t>
  </si>
  <si>
    <t>완료율 낮음</t>
  </si>
  <si>
    <t>UX 피로/문항 길이</t>
  </si>
  <si>
    <t>진행률+문항 단축</t>
  </si>
  <si>
    <t>이탈문항 수정</t>
  </si>
  <si>
    <t>공유 없음</t>
  </si>
  <si>
    <t>캡처 문장 없음</t>
  </si>
  <si>
    <t>상단 캡처 1문장</t>
  </si>
  <si>
    <t>문장 A/B</t>
  </si>
  <si>
    <t>재방문 낮음</t>
  </si>
  <si>
    <t>후속 행동 없음</t>
  </si>
  <si>
    <t>비교/재실행 CTA</t>
  </si>
  <si>
    <t>CTA A/B</t>
  </si>
  <si>
    <t>Details</t>
  </si>
  <si>
    <t>Project Positioning</t>
  </si>
  <si>
    <t>Risk-based pet lifestyle analysis platform (Not MBTI / Not direct insurance sales)</t>
  </si>
  <si>
    <t>Core Flow</t>
  </si>
  <si>
    <t>Test → Personalized Report → Risk Comparison → Plan Highlight → Join Page</t>
  </si>
  <si>
    <t>Risk Scoring</t>
  </si>
  <si>
    <t>1~5 scale, 5 axes, weighted average + percentile</t>
  </si>
  <si>
    <t>Report Format</t>
  </si>
  <si>
    <t>Block assembly (Not sentence generation)</t>
  </si>
  <si>
    <t>PDF Structure</t>
  </si>
  <si>
    <t>Cover (image) / Risk Index / Care Guide + Next Step CTA</t>
  </si>
  <si>
    <t>Plans</t>
  </si>
  <si>
    <t>Basic / Standard (default highlight) / Premium</t>
  </si>
  <si>
    <t>Tone Principle</t>
  </si>
  <si>
    <t>No fear-based messaging / No medical diagnosis tone / Suggestive not directive</t>
  </si>
  <si>
    <r>
      <t>문장(훅)이 약함</t>
    </r>
    <r>
      <rPr>
        <sz val="10"/>
        <color theme="1"/>
        <rFont val="맑은 고딕"/>
        <family val="2"/>
        <charset val="129"/>
      </rPr>
      <t xml:space="preserve"> / 광고 티 남 / 타겟 과도하게 좁음</t>
    </r>
  </si>
  <si>
    <r>
      <t>브랜드명·설명 삭제</t>
    </r>
    <r>
      <rPr>
        <sz val="10"/>
        <color theme="1"/>
        <rFont val="맑은 고딕"/>
        <family val="2"/>
        <charset val="129"/>
      </rPr>
      <t xml:space="preserve">, 질문형 1문장으로 시작 / “들킨 느낌” 톤으로 변경 / 소재를 3~5개로 늘려 </t>
    </r>
    <r>
      <rPr>
        <b/>
        <sz val="11"/>
        <color theme="1"/>
        <rFont val="맑은 고딕"/>
        <family val="3"/>
        <charset val="129"/>
        <scheme val="minor"/>
      </rPr>
      <t>동시 테스트</t>
    </r>
  </si>
  <si>
    <r>
      <t xml:space="preserve">1) </t>
    </r>
    <r>
      <rPr>
        <b/>
        <sz val="11"/>
        <color theme="1"/>
        <rFont val="맑은 고딕"/>
        <family val="3"/>
        <charset val="129"/>
        <scheme val="minor"/>
      </rPr>
      <t>문장만 다른 소재 5개</t>
    </r>
    <r>
      <rPr>
        <sz val="10"/>
        <color theme="1"/>
        <rFont val="맑은 고딕"/>
        <family val="2"/>
        <charset val="129"/>
      </rPr>
      <t xml:space="preserve"> 동시 집행 2) 24~48시간 후 CTR 상위 2개만 남김</t>
    </r>
  </si>
  <si>
    <r>
      <t xml:space="preserve">랜딩 첫 화면을 </t>
    </r>
    <r>
      <rPr>
        <b/>
        <sz val="11"/>
        <color theme="1"/>
        <rFont val="맑은 고딕"/>
        <family val="3"/>
        <charset val="129"/>
        <scheme val="minor"/>
      </rPr>
      <t>광고 문장 그대로</t>
    </r>
    <r>
      <rPr>
        <sz val="10"/>
        <color theme="1"/>
        <rFont val="맑은 고딕"/>
        <family val="2"/>
        <charset val="129"/>
      </rPr>
      <t xml:space="preserve"> 복붙 수준으로 맞춤 / CTA 버튼을 </t>
    </r>
    <r>
      <rPr>
        <b/>
        <sz val="11"/>
        <color theme="1"/>
        <rFont val="맑은 고딕"/>
        <family val="3"/>
        <charset val="129"/>
        <scheme val="minor"/>
      </rPr>
      <t>첫 화면에 고정</t>
    </r>
    <r>
      <rPr>
        <sz val="10"/>
        <color theme="1"/>
        <rFont val="맑은 고딕"/>
        <family val="2"/>
        <charset val="129"/>
      </rPr>
      <t xml:space="preserve"> / 이미지·텍스트 줄임</t>
    </r>
  </si>
  <si>
    <r>
      <t xml:space="preserve">랜딩 방문은 있는데 </t>
    </r>
    <r>
      <rPr>
        <b/>
        <sz val="11"/>
        <color theme="1"/>
        <rFont val="맑은 고딕"/>
        <family val="3"/>
        <charset val="129"/>
        <scheme val="minor"/>
      </rPr>
      <t>테스트 시작률</t>
    </r>
    <r>
      <rPr>
        <sz val="10"/>
        <color theme="1"/>
        <rFont val="맑은 고딕"/>
        <family val="2"/>
        <charset val="129"/>
      </rPr>
      <t xml:space="preserve"> 낮음 (예: &lt; 30~40%)</t>
    </r>
  </si>
  <si>
    <r>
      <t xml:space="preserve">“3분/무료/즉시 결과”를 첫 화면에 박기 / CTA를 </t>
    </r>
    <r>
      <rPr>
        <b/>
        <sz val="11"/>
        <color theme="1"/>
        <rFont val="맑은 고딕"/>
        <family val="3"/>
        <charset val="129"/>
        <scheme val="minor"/>
      </rPr>
      <t>1개로</t>
    </r>
    <r>
      <rPr>
        <sz val="10"/>
        <color theme="1"/>
        <rFont val="맑은 고딕"/>
        <family val="2"/>
        <charset val="129"/>
      </rPr>
      <t xml:space="preserve"> / 미니질문은 3~5개, 결과 없음(다음으로 넘기는 장치)</t>
    </r>
  </si>
  <si>
    <r>
      <t xml:space="preserve">테스트 시작은 하는데 </t>
    </r>
    <r>
      <rPr>
        <b/>
        <sz val="11"/>
        <color theme="1"/>
        <rFont val="맑은 고딕"/>
        <family val="3"/>
        <charset val="129"/>
        <scheme val="minor"/>
      </rPr>
      <t>완료율</t>
    </r>
    <r>
      <rPr>
        <sz val="10"/>
        <color theme="1"/>
        <rFont val="맑은 고딕"/>
        <family val="2"/>
        <charset val="129"/>
      </rPr>
      <t xml:space="preserve"> 낮음 (예: &lt; 50~60%)</t>
    </r>
  </si>
  <si>
    <r>
      <t>이탈 Top 3 문항</t>
    </r>
    <r>
      <rPr>
        <sz val="10"/>
        <color theme="1"/>
        <rFont val="맑은 고딕"/>
        <family val="2"/>
        <charset val="129"/>
      </rPr>
      <t>을 찾아 문장만 수정 A/B / 문항 수 10~20% 줄인 버전 테스트</t>
    </r>
  </si>
  <si>
    <r>
      <t xml:space="preserve">결과 상단에 </t>
    </r>
    <r>
      <rPr>
        <b/>
        <sz val="11"/>
        <color theme="1"/>
        <rFont val="맑은 고딕"/>
        <family val="3"/>
        <charset val="129"/>
        <scheme val="minor"/>
      </rPr>
      <t>“캡처용 한 문장”</t>
    </r>
    <r>
      <rPr>
        <sz val="10"/>
        <color theme="1"/>
        <rFont val="맑은 고딕"/>
        <family val="2"/>
        <charset val="129"/>
      </rPr>
      <t xml:space="preserve"> 고정 / 3줄 요약 먼저 / 상세는 접기(accordion)</t>
    </r>
  </si>
  <si>
    <r>
      <t xml:space="preserve">완료는 하는데 </t>
    </r>
    <r>
      <rPr>
        <b/>
        <sz val="11"/>
        <color theme="1"/>
        <rFont val="맑은 고딕"/>
        <family val="3"/>
        <charset val="129"/>
        <scheme val="minor"/>
      </rPr>
      <t>공유율/캡처</t>
    </r>
    <r>
      <rPr>
        <sz val="10"/>
        <color theme="1"/>
        <rFont val="맑은 고딕"/>
        <family val="2"/>
        <charset val="129"/>
      </rPr>
      <t>가 거의 없음</t>
    </r>
  </si>
  <si>
    <r>
      <t xml:space="preserve">견종카드에 </t>
    </r>
    <r>
      <rPr>
        <b/>
        <sz val="11"/>
        <color theme="1"/>
        <rFont val="맑은 고딕"/>
        <family val="3"/>
        <charset val="129"/>
        <scheme val="minor"/>
      </rPr>
      <t>캡처용 문장 1개 강제 삽입</t>
    </r>
    <r>
      <rPr>
        <sz val="10"/>
        <color theme="1"/>
        <rFont val="맑은 고딕"/>
        <family val="2"/>
        <charset val="129"/>
      </rPr>
      <t xml:space="preserve"> / 공유 버튼을 상단 고정 / OG 이미지 자동 생성</t>
    </r>
  </si>
  <si>
    <t>한줄 요약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</si>
</sst>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theme="1"/>
      <name val="Arial Unicode MS"/>
      <family val="2"/>
    </font>
    <font>
      <sz val="10"/>
      <color theme="1"/>
      <name val="Segoe UI Emoji"/>
      <family val="2"/>
    </font>
    <font>
      <sz val="10"/>
      <color theme="1"/>
      <name val="Calibri"/>
      <family val="2"/>
    </font>
    <font>
      <sz val="10"/>
      <color theme="1"/>
      <name val="Segoe UI Symbol"/>
      <family val="2"/>
    </font>
    <font>
      <sz val="10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22293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6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0" fillId="0" borderId="0" xfId="0" applyAlignment="1"/>
    <xf numFmtId="0" fontId="0" fillId="5" borderId="1" xfId="0" applyFill="1" applyBorder="1" applyAlignment="1"/>
    <xf numFmtId="0" fontId="0" fillId="0" borderId="1" xfId="0" applyBorder="1" applyAlignment="1"/>
    <xf numFmtId="0" fontId="0" fillId="0" borderId="0" xfId="0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5" fillId="0" borderId="1" xfId="0" applyFont="1" applyBorder="1">
      <alignment vertical="center"/>
    </xf>
    <xf numFmtId="0" fontId="1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0" xfId="0" applyFont="1">
      <alignment vertical="center"/>
    </xf>
    <xf numFmtId="0" fontId="17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표준" xfId="0" builtinId="0"/>
    <cellStyle name="표준 2" xfId="1" xr:uid="{D8E8A6B4-A6C5-4C0D-A228-7D156C863BD5}"/>
  </cellStyles>
  <dxfs count="15">
    <dxf>
      <fill>
        <patternFill patternType="solid">
          <fgColor rgb="FFE5E7EB"/>
          <bgColor rgb="FFFFFFCC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  <bgColor theme="5" tint="0.59996337778862885"/>
        </patternFill>
      </fill>
    </dxf>
    <dxf>
      <font>
        <b/>
      </font>
      <fill>
        <patternFill patternType="solid">
          <fgColor rgb="FFDCFCE7"/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rgb="FFE5E7EB"/>
          <bgColor rgb="FFFFFFCC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  <bgColor theme="5" tint="0.59996337778862885"/>
        </patternFill>
      </fill>
    </dxf>
    <dxf>
      <font>
        <b/>
        <i val="0"/>
      </font>
      <fill>
        <patternFill patternType="solid">
          <fgColor rgb="FFDCFCE7"/>
          <bgColor theme="8" tint="0.39994506668294322"/>
        </patternFill>
      </fill>
    </dxf>
    <dxf>
      <font>
        <b val="0"/>
        <i val="0"/>
      </font>
      <fill>
        <patternFill>
          <bgColor theme="8" tint="0.79998168889431442"/>
        </patternFill>
      </fill>
    </dxf>
    <dxf>
      <fill>
        <patternFill patternType="solid">
          <fgColor rgb="FFE5E7EB"/>
          <bgColor rgb="FFFFFFCC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  <bgColor theme="5" tint="0.59996337778862885"/>
        </patternFill>
      </fill>
    </dxf>
    <dxf>
      <font>
        <b/>
        <i val="0"/>
      </font>
      <fill>
        <patternFill patternType="solid">
          <fgColor rgb="FFDCFCE7"/>
          <bgColor theme="8" tint="0.39994506668294322"/>
        </patternFill>
      </fill>
    </dxf>
    <dxf>
      <font>
        <b val="0"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s9\Desktop\00.&#47560;&#51060;&#48652;&#46972;&#50868;\&#54764;&#47196;&#48148;&#51060;&#47560;&#51060;&#48652;&#46972;&#50868;_&#54532;&#47196;&#51229;&#53944;_&#51204;&#52404;&#51648;&#46020;_&#50641;&#49472;.xlsx" TargetMode="External"/><Relationship Id="rId1" Type="http://schemas.openxmlformats.org/officeDocument/2006/relationships/externalLinkPath" Target="/Users/mars9/Desktop/00.&#47560;&#51060;&#48652;&#46972;&#50868;/&#54764;&#47196;&#48148;&#51060;&#47560;&#51060;&#48652;&#46972;&#50868;_&#54532;&#47196;&#51229;&#53944;_&#51204;&#52404;&#51648;&#46020;_&#50641;&#494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_Dashboard"/>
      <sheetName val="1_Master_Backlog"/>
      <sheetName val="1-1_ID_Execution_Schedule"/>
      <sheetName val="2_Workstreams"/>
      <sheetName val="3_Content_Library"/>
      <sheetName val="4_Ads_Setup"/>
      <sheetName val="5_Infra_Domain"/>
      <sheetName val="6_Analytics_Plan"/>
      <sheetName val="7_Launch_Checklist"/>
      <sheetName val="8_Ad_Workstream_Map"/>
      <sheetName val="9.Ad_Mvp_Operation"/>
      <sheetName val="10.KPI_Prescription"/>
    </sheetNames>
    <sheetDataSet>
      <sheetData sheetId="0"/>
      <sheetData sheetId="1">
        <row r="2">
          <cell r="C2" t="str">
            <v>Workstream</v>
          </cell>
          <cell r="M2" t="str">
            <v>Status</v>
          </cell>
        </row>
        <row r="3">
          <cell r="C3" t="str">
            <v>Domain/Infra/Security</v>
          </cell>
          <cell r="M3" t="str">
            <v>In Progress</v>
          </cell>
        </row>
        <row r="4">
          <cell r="C4" t="str">
            <v>Domain/Infra/Security</v>
          </cell>
          <cell r="M4" t="str">
            <v>In Progress</v>
          </cell>
        </row>
        <row r="5">
          <cell r="C5" t="str">
            <v>Domain/Infra/Security</v>
          </cell>
          <cell r="M5" t="str">
            <v>In Progress</v>
          </cell>
        </row>
        <row r="6">
          <cell r="C6" t="str">
            <v>Domain/Infra/Security</v>
          </cell>
          <cell r="M6" t="str">
            <v>Not Started</v>
          </cell>
        </row>
        <row r="7">
          <cell r="C7" t="str">
            <v>Domain/Infra/Security</v>
          </cell>
          <cell r="M7" t="str">
            <v>In Progress</v>
          </cell>
        </row>
        <row r="8">
          <cell r="C8" t="str">
            <v>Domain/Infra/Security</v>
          </cell>
          <cell r="M8" t="str">
            <v>Not Started</v>
          </cell>
        </row>
        <row r="9">
          <cell r="C9" t="str">
            <v>Domain/Infra/Security</v>
          </cell>
          <cell r="M9" t="str">
            <v>In Progress</v>
          </cell>
        </row>
        <row r="10">
          <cell r="C10" t="str">
            <v>Domain/Infra/Security</v>
          </cell>
          <cell r="M10" t="str">
            <v>Not Started</v>
          </cell>
        </row>
        <row r="11">
          <cell r="C11" t="str">
            <v>Domain/Infra/Security</v>
          </cell>
          <cell r="M11" t="str">
            <v>Not Started</v>
          </cell>
        </row>
        <row r="12">
          <cell r="C12" t="str">
            <v>Domain/Infra/Security</v>
          </cell>
          <cell r="M12" t="str">
            <v>Not Started</v>
          </cell>
        </row>
        <row r="13">
          <cell r="C13" t="str">
            <v>Strategy &amp; Positioning</v>
          </cell>
          <cell r="M13" t="str">
            <v>Not Started</v>
          </cell>
        </row>
        <row r="14">
          <cell r="C14" t="str">
            <v>Strategy &amp; Positioning</v>
          </cell>
          <cell r="M14" t="str">
            <v>Done</v>
          </cell>
        </row>
        <row r="15">
          <cell r="C15" t="str">
            <v>Strategy &amp; Positioning</v>
          </cell>
          <cell r="M15" t="str">
            <v>In Progress</v>
          </cell>
        </row>
        <row r="16">
          <cell r="C16" t="str">
            <v>Strategy &amp; Positioning</v>
          </cell>
          <cell r="M16" t="str">
            <v>In Progress</v>
          </cell>
        </row>
        <row r="17">
          <cell r="C17" t="str">
            <v>Strategy &amp; Positioning</v>
          </cell>
          <cell r="M17" t="str">
            <v>In Progress</v>
          </cell>
        </row>
        <row r="18">
          <cell r="C18" t="str">
            <v>Brand &amp; Copy</v>
          </cell>
          <cell r="M18" t="str">
            <v>Not Started</v>
          </cell>
        </row>
        <row r="19">
          <cell r="C19" t="str">
            <v>Brand &amp; Copy</v>
          </cell>
          <cell r="M19" t="str">
            <v>In Progress</v>
          </cell>
        </row>
        <row r="20">
          <cell r="C20" t="str">
            <v>Brand &amp; Copy</v>
          </cell>
          <cell r="M20" t="str">
            <v>In Progress</v>
          </cell>
        </row>
        <row r="21">
          <cell r="C21" t="str">
            <v>Brand &amp; Copy</v>
          </cell>
          <cell r="M21" t="str">
            <v>In Progress</v>
          </cell>
        </row>
        <row r="22">
          <cell r="C22" t="str">
            <v>Landing &amp; Funnel</v>
          </cell>
          <cell r="M22" t="str">
            <v>In Progress</v>
          </cell>
        </row>
        <row r="23">
          <cell r="C23" t="str">
            <v>Landing &amp; Funnel</v>
          </cell>
          <cell r="M23" t="str">
            <v>Not Started</v>
          </cell>
        </row>
        <row r="24">
          <cell r="C24" t="str">
            <v>Landing &amp; Funnel</v>
          </cell>
          <cell r="M24" t="str">
            <v>Not Started</v>
          </cell>
        </row>
        <row r="25">
          <cell r="C25" t="str">
            <v>Landing &amp; Funnel</v>
          </cell>
          <cell r="M25" t="str">
            <v>Not Started</v>
          </cell>
        </row>
        <row r="26">
          <cell r="C26" t="str">
            <v>Landing &amp; Funnel</v>
          </cell>
          <cell r="M26" t="str">
            <v>Not Started</v>
          </cell>
        </row>
        <row r="27">
          <cell r="C27" t="str">
            <v>Landing &amp; Funnel</v>
          </cell>
          <cell r="M27" t="str">
            <v>Not Started</v>
          </cell>
        </row>
        <row r="28">
          <cell r="C28" t="str">
            <v>Landing &amp; Funnel</v>
          </cell>
          <cell r="M28" t="str">
            <v>Not Started</v>
          </cell>
        </row>
        <row r="29">
          <cell r="C29" t="str">
            <v>Test UX &amp; Results</v>
          </cell>
          <cell r="M29" t="str">
            <v>Not Started</v>
          </cell>
        </row>
        <row r="30">
          <cell r="C30" t="str">
            <v>Test UX &amp; Results</v>
          </cell>
          <cell r="M30" t="str">
            <v>Not Started</v>
          </cell>
        </row>
        <row r="31">
          <cell r="C31" t="str">
            <v>Test UX &amp; Results</v>
          </cell>
          <cell r="M31" t="str">
            <v>Not Started</v>
          </cell>
        </row>
        <row r="32">
          <cell r="C32" t="str">
            <v>Test UX &amp; Results</v>
          </cell>
          <cell r="M32" t="str">
            <v>Not Started</v>
          </cell>
        </row>
        <row r="33">
          <cell r="C33" t="str">
            <v>Test UX &amp; Results</v>
          </cell>
          <cell r="M33" t="str">
            <v>Not Started</v>
          </cell>
        </row>
        <row r="34">
          <cell r="C34" t="str">
            <v>Test UX &amp; Results</v>
          </cell>
          <cell r="M34" t="str">
            <v>Not Started</v>
          </cell>
        </row>
        <row r="35">
          <cell r="C35" t="str">
            <v>Test UX &amp; Results</v>
          </cell>
          <cell r="M35" t="str">
            <v>Not Started</v>
          </cell>
        </row>
        <row r="36">
          <cell r="C36" t="str">
            <v>Web/Engineering</v>
          </cell>
          <cell r="M36" t="str">
            <v>Not Started</v>
          </cell>
        </row>
        <row r="37">
          <cell r="C37" t="str">
            <v>Web/Engineering</v>
          </cell>
          <cell r="M37" t="str">
            <v>Not Started</v>
          </cell>
        </row>
        <row r="38">
          <cell r="C38" t="str">
            <v>Web/Engineering</v>
          </cell>
          <cell r="M38" t="str">
            <v>Not Started</v>
          </cell>
        </row>
        <row r="39">
          <cell r="C39" t="str">
            <v>Web/Engineering</v>
          </cell>
          <cell r="M39" t="str">
            <v>Not Started</v>
          </cell>
        </row>
        <row r="40">
          <cell r="C40" t="str">
            <v>Web/Engineering</v>
          </cell>
          <cell r="M40" t="str">
            <v>Not Started</v>
          </cell>
        </row>
        <row r="41">
          <cell r="C41" t="str">
            <v>Web/Engineering</v>
          </cell>
          <cell r="M41" t="str">
            <v>Not Started</v>
          </cell>
        </row>
        <row r="42">
          <cell r="C42" t="str">
            <v>Web/Engineering</v>
          </cell>
          <cell r="M42" t="str">
            <v>Not Started</v>
          </cell>
        </row>
        <row r="43">
          <cell r="C43" t="str">
            <v>Web/Engineering</v>
          </cell>
          <cell r="M43" t="str">
            <v>Not Started</v>
          </cell>
        </row>
        <row r="44">
          <cell r="C44" t="str">
            <v>Analytics &amp; Data</v>
          </cell>
          <cell r="M44" t="str">
            <v>Not Started</v>
          </cell>
        </row>
        <row r="45">
          <cell r="C45" t="str">
            <v>Analytics &amp; Data</v>
          </cell>
          <cell r="M45" t="str">
            <v>Not Started</v>
          </cell>
        </row>
        <row r="46">
          <cell r="C46" t="str">
            <v>Analytics &amp; Data</v>
          </cell>
          <cell r="M46" t="str">
            <v>Not Started</v>
          </cell>
        </row>
        <row r="47">
          <cell r="C47" t="str">
            <v>Analytics &amp; Data</v>
          </cell>
          <cell r="M47" t="str">
            <v>Not Started</v>
          </cell>
        </row>
        <row r="48">
          <cell r="C48" t="str">
            <v>Analytics &amp; Data</v>
          </cell>
          <cell r="M48" t="str">
            <v>Done</v>
          </cell>
        </row>
        <row r="49">
          <cell r="C49" t="str">
            <v>SEO &amp; AI Search</v>
          </cell>
          <cell r="M49" t="str">
            <v>Done</v>
          </cell>
        </row>
        <row r="50">
          <cell r="C50" t="str">
            <v>SEO &amp; AI Search</v>
          </cell>
          <cell r="M50" t="str">
            <v>Done</v>
          </cell>
        </row>
        <row r="51">
          <cell r="C51" t="str">
            <v>SEO &amp; AI Search</v>
          </cell>
          <cell r="M51" t="str">
            <v>In Progress</v>
          </cell>
        </row>
        <row r="52">
          <cell r="C52" t="str">
            <v>SEO &amp; AI Search</v>
          </cell>
          <cell r="M52" t="str">
            <v>In Progress</v>
          </cell>
        </row>
        <row r="53">
          <cell r="C53" t="str">
            <v>SEO &amp; AI Search</v>
          </cell>
          <cell r="M53" t="str">
            <v>In Progress</v>
          </cell>
        </row>
        <row r="54">
          <cell r="C54" t="str">
            <v>Content (Blog/UGC)</v>
          </cell>
          <cell r="M54" t="str">
            <v>Not Started</v>
          </cell>
        </row>
        <row r="55">
          <cell r="C55" t="str">
            <v>Content (Blog/UGC)</v>
          </cell>
          <cell r="M55" t="str">
            <v>Not Started</v>
          </cell>
        </row>
        <row r="56">
          <cell r="C56" t="str">
            <v>Content (Blog/UGC)</v>
          </cell>
          <cell r="M56" t="str">
            <v>Not Started</v>
          </cell>
        </row>
        <row r="57">
          <cell r="C57" t="str">
            <v>Content (Blog/UGC)</v>
          </cell>
          <cell r="M57" t="str">
            <v>Not Started</v>
          </cell>
        </row>
        <row r="58">
          <cell r="C58" t="str">
            <v>Content (Blog/UGC)</v>
          </cell>
          <cell r="M58" t="str">
            <v>Not Started</v>
          </cell>
        </row>
        <row r="59">
          <cell r="C59" t="str">
            <v>Ads (Meta/TikTok)</v>
          </cell>
          <cell r="M59" t="str">
            <v>Not Started</v>
          </cell>
        </row>
        <row r="60">
          <cell r="C60" t="str">
            <v>Ads (Meta/TikTok)</v>
          </cell>
          <cell r="M60" t="str">
            <v>Not Started</v>
          </cell>
        </row>
        <row r="61">
          <cell r="C61" t="str">
            <v>Ads (Meta/TikTok)</v>
          </cell>
          <cell r="M61" t="str">
            <v>Not Started</v>
          </cell>
        </row>
        <row r="62">
          <cell r="C62" t="str">
            <v>Ads (Meta/TikTok)</v>
          </cell>
          <cell r="M62" t="str">
            <v>Not Started</v>
          </cell>
        </row>
        <row r="63">
          <cell r="C63" t="str">
            <v>Ads (Meta/TikTok)</v>
          </cell>
          <cell r="M63" t="str">
            <v>Not Started</v>
          </cell>
        </row>
        <row r="64">
          <cell r="C64" t="str">
            <v>Ads (Meta/TikTok)</v>
          </cell>
          <cell r="M64" t="str">
            <v>Not Started</v>
          </cell>
        </row>
        <row r="65">
          <cell r="C65" t="str">
            <v>Operations/Legal</v>
          </cell>
          <cell r="M65" t="str">
            <v>Not Started</v>
          </cell>
        </row>
        <row r="66">
          <cell r="C66" t="str">
            <v>Operations/Legal</v>
          </cell>
          <cell r="M66" t="str">
            <v>Not Started</v>
          </cell>
        </row>
        <row r="67">
          <cell r="C67" t="str">
            <v>Operations/Legal</v>
          </cell>
          <cell r="M67" t="str">
            <v>Not Started</v>
          </cell>
        </row>
        <row r="68">
          <cell r="C68" t="str">
            <v>Operations/Legal</v>
          </cell>
          <cell r="M68" t="str">
            <v>Not Started</v>
          </cell>
        </row>
        <row r="69">
          <cell r="C69" t="str">
            <v>Partnerships &amp; Distribution</v>
          </cell>
          <cell r="M69" t="str">
            <v>Not Started</v>
          </cell>
        </row>
        <row r="70">
          <cell r="C70" t="str">
            <v>Partnerships &amp; Distribution</v>
          </cell>
          <cell r="M70" t="str">
            <v>Not Started</v>
          </cell>
        </row>
        <row r="71">
          <cell r="C71" t="str">
            <v>Landing &amp; Funnel</v>
          </cell>
          <cell r="M71" t="str">
            <v>Not Started</v>
          </cell>
        </row>
        <row r="72">
          <cell r="C72" t="str">
            <v>Landing &amp; Funnel</v>
          </cell>
          <cell r="M72" t="str">
            <v>Not Started</v>
          </cell>
        </row>
        <row r="73">
          <cell r="C73" t="str">
            <v>Landing &amp; Funnel</v>
          </cell>
          <cell r="M73" t="str">
            <v>Not Started</v>
          </cell>
        </row>
        <row r="74">
          <cell r="C74" t="str">
            <v>Landing &amp; Funnel</v>
          </cell>
          <cell r="M74" t="str">
            <v>Not Started</v>
          </cell>
        </row>
      </sheetData>
      <sheetData sheetId="2">
        <row r="17">
          <cell r="E17" t="str">
            <v>Not Started</v>
          </cell>
        </row>
        <row r="18">
          <cell r="E18" t="str">
            <v>In Progress</v>
          </cell>
        </row>
        <row r="19">
          <cell r="E19" t="str">
            <v>In Progress</v>
          </cell>
        </row>
        <row r="20">
          <cell r="E20" t="str">
            <v>In Progress</v>
          </cell>
        </row>
        <row r="21">
          <cell r="E21" t="str">
            <v>In Progress</v>
          </cell>
        </row>
        <row r="22">
          <cell r="E22" t="str">
            <v>Not Started</v>
          </cell>
        </row>
        <row r="23">
          <cell r="E23" t="str">
            <v>Not Started</v>
          </cell>
        </row>
        <row r="24">
          <cell r="E24" t="str">
            <v>Not Started</v>
          </cell>
        </row>
        <row r="25">
          <cell r="E25" t="str">
            <v>Not Started</v>
          </cell>
        </row>
        <row r="26">
          <cell r="E26" t="str">
            <v>Not Started</v>
          </cell>
        </row>
        <row r="27">
          <cell r="E27" t="str">
            <v>Not Started</v>
          </cell>
        </row>
        <row r="28">
          <cell r="E28" t="str">
            <v>Not Started</v>
          </cell>
        </row>
        <row r="29">
          <cell r="E29" t="str">
            <v>Not Started</v>
          </cell>
        </row>
        <row r="30">
          <cell r="E30" t="str">
            <v>Not Started</v>
          </cell>
        </row>
        <row r="31">
          <cell r="E31" t="str">
            <v>Not Started</v>
          </cell>
        </row>
        <row r="32">
          <cell r="E32" t="str">
            <v>Not Started</v>
          </cell>
        </row>
        <row r="33">
          <cell r="E33" t="str">
            <v>Not Started</v>
          </cell>
        </row>
        <row r="34">
          <cell r="E34" t="str">
            <v>Not Started</v>
          </cell>
        </row>
        <row r="35">
          <cell r="E35" t="str">
            <v>Not Started</v>
          </cell>
        </row>
        <row r="36">
          <cell r="E36" t="str">
            <v>Not Started</v>
          </cell>
        </row>
        <row r="37">
          <cell r="E37" t="str">
            <v>Not Started</v>
          </cell>
        </row>
        <row r="38">
          <cell r="E38" t="str">
            <v>Not Started</v>
          </cell>
        </row>
        <row r="39">
          <cell r="E39" t="str">
            <v>Not Started</v>
          </cell>
        </row>
        <row r="40">
          <cell r="E40" t="str">
            <v>Not Started</v>
          </cell>
        </row>
        <row r="41">
          <cell r="E41" t="str">
            <v>Not Started</v>
          </cell>
        </row>
        <row r="42">
          <cell r="E42" t="str">
            <v>Not Started</v>
          </cell>
        </row>
        <row r="43">
          <cell r="E43" t="str">
            <v>Not Started</v>
          </cell>
        </row>
        <row r="44">
          <cell r="E44" t="str">
            <v>Not Started</v>
          </cell>
        </row>
        <row r="45">
          <cell r="E45" t="str">
            <v>Not Started</v>
          </cell>
        </row>
        <row r="46">
          <cell r="E46" t="str">
            <v>Not Started</v>
          </cell>
        </row>
        <row r="47">
          <cell r="E47" t="str">
            <v>Done</v>
          </cell>
        </row>
        <row r="48">
          <cell r="E48" t="str">
            <v>Done</v>
          </cell>
        </row>
        <row r="49">
          <cell r="E49" t="str">
            <v>Done</v>
          </cell>
        </row>
        <row r="50">
          <cell r="E50" t="str">
            <v>In Progress</v>
          </cell>
        </row>
        <row r="51">
          <cell r="E51" t="str">
            <v>In Progress</v>
          </cell>
        </row>
        <row r="52">
          <cell r="E52" t="str">
            <v>In Progress</v>
          </cell>
        </row>
        <row r="53">
          <cell r="E53" t="str">
            <v>Not Started</v>
          </cell>
        </row>
        <row r="54">
          <cell r="E54" t="str">
            <v>Not Started</v>
          </cell>
        </row>
        <row r="55">
          <cell r="E55" t="str">
            <v>Not Started</v>
          </cell>
        </row>
        <row r="56">
          <cell r="E56" t="str">
            <v>Not Started</v>
          </cell>
        </row>
        <row r="57">
          <cell r="E57" t="str">
            <v>Not Started</v>
          </cell>
        </row>
        <row r="58">
          <cell r="E58" t="str">
            <v>Not Started</v>
          </cell>
        </row>
        <row r="59">
          <cell r="E59" t="str">
            <v>Not Started</v>
          </cell>
        </row>
        <row r="60">
          <cell r="E60" t="str">
            <v>Not Started</v>
          </cell>
        </row>
        <row r="61">
          <cell r="E61" t="str">
            <v>Not Started</v>
          </cell>
        </row>
        <row r="62">
          <cell r="E62" t="str">
            <v>Not Started</v>
          </cell>
        </row>
        <row r="63">
          <cell r="E63" t="str">
            <v>Not Started</v>
          </cell>
        </row>
        <row r="64">
          <cell r="E64" t="str">
            <v>Not Started</v>
          </cell>
        </row>
        <row r="65">
          <cell r="E65" t="str">
            <v>Not Started</v>
          </cell>
        </row>
        <row r="66">
          <cell r="E66" t="str">
            <v>Not Started</v>
          </cell>
        </row>
        <row r="67">
          <cell r="E67" t="str">
            <v>Not Started</v>
          </cell>
        </row>
        <row r="68">
          <cell r="E68" t="str">
            <v>Not Started</v>
          </cell>
        </row>
        <row r="69">
          <cell r="E69" t="str">
            <v>Not Started</v>
          </cell>
        </row>
        <row r="70">
          <cell r="E70" t="str">
            <v>Not Started</v>
          </cell>
        </row>
        <row r="71">
          <cell r="E71" t="str">
            <v>Not Started</v>
          </cell>
        </row>
        <row r="72">
          <cell r="E72" t="str">
            <v>Not Started</v>
          </cell>
        </row>
        <row r="73">
          <cell r="E73" t="str">
            <v>Not Started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3968-AC12-4BBD-A761-FF5DC11E20BF}">
  <dimension ref="A1"/>
  <sheetViews>
    <sheetView workbookViewId="0">
      <selection activeCell="E21" sqref="E21"/>
    </sheetView>
  </sheetViews>
  <sheetFormatPr defaultRowHeight="24" customHeight="1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251F-0CB7-4589-8DDA-FFE93C874774}">
  <dimension ref="A1"/>
  <sheetViews>
    <sheetView workbookViewId="0"/>
  </sheetViews>
  <sheetFormatPr defaultRowHeight="15.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2327-0753-4C44-B216-846F113DA37B}">
  <dimension ref="A2:B108"/>
  <sheetViews>
    <sheetView topLeftCell="A92" workbookViewId="0">
      <selection activeCell="A26" sqref="A26"/>
    </sheetView>
  </sheetViews>
  <sheetFormatPr defaultRowHeight="24" customHeight="1"/>
  <cols>
    <col min="1" max="1" width="66.88671875" bestFit="1" customWidth="1"/>
    <col min="2" max="2" width="101.109375" bestFit="1" customWidth="1"/>
  </cols>
  <sheetData>
    <row r="2" spans="1:2" ht="24" customHeight="1">
      <c r="A2" s="16" t="s">
        <v>660</v>
      </c>
      <c r="B2" s="16"/>
    </row>
    <row r="3" spans="1:2" ht="24" customHeight="1">
      <c r="A3" s="13" t="s">
        <v>661</v>
      </c>
      <c r="B3" s="16"/>
    </row>
    <row r="4" spans="1:2" ht="24" customHeight="1">
      <c r="A4" s="13" t="s">
        <v>662</v>
      </c>
      <c r="B4" s="16"/>
    </row>
    <row r="5" spans="1:2" ht="24" customHeight="1">
      <c r="A5" s="16"/>
      <c r="B5" s="16"/>
    </row>
    <row r="6" spans="1:2" ht="24" customHeight="1">
      <c r="A6" s="17" t="s">
        <v>612</v>
      </c>
      <c r="B6" s="17" t="s">
        <v>613</v>
      </c>
    </row>
    <row r="7" spans="1:2" ht="24" customHeight="1">
      <c r="A7" s="18" t="s">
        <v>663</v>
      </c>
      <c r="B7" s="18" t="s">
        <v>664</v>
      </c>
    </row>
    <row r="8" spans="1:2" ht="24" customHeight="1">
      <c r="A8" s="18" t="s">
        <v>665</v>
      </c>
      <c r="B8" s="19" t="s">
        <v>777</v>
      </c>
    </row>
    <row r="9" spans="1:2" ht="24" customHeight="1">
      <c r="A9" s="18" t="s">
        <v>667</v>
      </c>
      <c r="B9" s="18" t="s">
        <v>668</v>
      </c>
    </row>
    <row r="10" spans="1:2" ht="24" customHeight="1">
      <c r="A10" s="18" t="s">
        <v>669</v>
      </c>
      <c r="B10" s="19" t="s">
        <v>778</v>
      </c>
    </row>
    <row r="11" spans="1:2" ht="24" customHeight="1">
      <c r="A11" s="18" t="s">
        <v>671</v>
      </c>
      <c r="B11" s="18" t="s">
        <v>672</v>
      </c>
    </row>
    <row r="12" spans="1:2" ht="24" customHeight="1">
      <c r="A12" s="18" t="s">
        <v>673</v>
      </c>
      <c r="B12" s="18" t="s">
        <v>779</v>
      </c>
    </row>
    <row r="13" spans="1:2" ht="24" customHeight="1">
      <c r="A13" s="18" t="s">
        <v>675</v>
      </c>
      <c r="B13" s="18" t="s">
        <v>676</v>
      </c>
    </row>
    <row r="14" spans="1:2" ht="24" customHeight="1">
      <c r="A14" s="18" t="s">
        <v>677</v>
      </c>
      <c r="B14" s="18" t="s">
        <v>89</v>
      </c>
    </row>
    <row r="15" spans="1:2" ht="24" customHeight="1">
      <c r="A15" s="18" t="s">
        <v>678</v>
      </c>
      <c r="B15" s="18" t="s">
        <v>44</v>
      </c>
    </row>
    <row r="16" spans="1:2" ht="24" customHeight="1">
      <c r="A16" s="16"/>
      <c r="B16" s="16"/>
    </row>
    <row r="17" spans="1:2" ht="24" customHeight="1">
      <c r="A17" s="13" t="s">
        <v>679</v>
      </c>
      <c r="B17" s="16"/>
    </row>
    <row r="18" spans="1:2" ht="24" customHeight="1">
      <c r="A18" s="20" t="s">
        <v>612</v>
      </c>
      <c r="B18" s="20" t="s">
        <v>613</v>
      </c>
    </row>
    <row r="19" spans="1:2" ht="24" customHeight="1">
      <c r="A19" s="21" t="s">
        <v>663</v>
      </c>
      <c r="B19" s="21" t="s">
        <v>664</v>
      </c>
    </row>
    <row r="20" spans="1:2" ht="24" customHeight="1">
      <c r="A20" s="21" t="s">
        <v>665</v>
      </c>
      <c r="B20" s="22" t="s">
        <v>777</v>
      </c>
    </row>
    <row r="21" spans="1:2" ht="24" customHeight="1">
      <c r="A21" s="21" t="s">
        <v>667</v>
      </c>
      <c r="B21" s="21" t="s">
        <v>668</v>
      </c>
    </row>
    <row r="22" spans="1:2" ht="24" customHeight="1">
      <c r="A22" s="21" t="s">
        <v>669</v>
      </c>
      <c r="B22" s="22" t="s">
        <v>778</v>
      </c>
    </row>
    <row r="23" spans="1:2" ht="24" customHeight="1">
      <c r="A23" s="21" t="s">
        <v>671</v>
      </c>
      <c r="B23" s="21" t="s">
        <v>672</v>
      </c>
    </row>
    <row r="24" spans="1:2" ht="24" customHeight="1">
      <c r="A24" s="21" t="s">
        <v>673</v>
      </c>
      <c r="B24" s="21" t="s">
        <v>779</v>
      </c>
    </row>
    <row r="25" spans="1:2" ht="24" customHeight="1">
      <c r="A25" s="21" t="s">
        <v>675</v>
      </c>
      <c r="B25" s="21" t="s">
        <v>676</v>
      </c>
    </row>
    <row r="26" spans="1:2" ht="24" customHeight="1">
      <c r="A26" s="21" t="s">
        <v>677</v>
      </c>
      <c r="B26" s="21" t="s">
        <v>89</v>
      </c>
    </row>
    <row r="27" spans="1:2" ht="24" customHeight="1">
      <c r="A27" s="21" t="s">
        <v>678</v>
      </c>
      <c r="B27" s="21" t="s">
        <v>44</v>
      </c>
    </row>
    <row r="28" spans="1:2" ht="24" customHeight="1">
      <c r="A28" s="16"/>
      <c r="B28" s="16"/>
    </row>
    <row r="29" spans="1:2" ht="24" customHeight="1">
      <c r="A29" s="13" t="s">
        <v>680</v>
      </c>
      <c r="B29" s="16"/>
    </row>
    <row r="30" spans="1:2" ht="24" customHeight="1">
      <c r="A30" s="20" t="s">
        <v>612</v>
      </c>
      <c r="B30" s="20" t="s">
        <v>613</v>
      </c>
    </row>
    <row r="31" spans="1:2" ht="24" customHeight="1">
      <c r="A31" s="21" t="s">
        <v>663</v>
      </c>
      <c r="B31" s="21" t="s">
        <v>681</v>
      </c>
    </row>
    <row r="32" spans="1:2" ht="24" customHeight="1">
      <c r="A32" s="21" t="s">
        <v>665</v>
      </c>
      <c r="B32" s="21" t="s">
        <v>682</v>
      </c>
    </row>
    <row r="33" spans="1:2" ht="24" customHeight="1">
      <c r="A33" s="21" t="s">
        <v>667</v>
      </c>
      <c r="B33" s="21" t="s">
        <v>683</v>
      </c>
    </row>
    <row r="34" spans="1:2" ht="24" customHeight="1">
      <c r="A34" s="21" t="s">
        <v>669</v>
      </c>
      <c r="B34" s="21" t="s">
        <v>780</v>
      </c>
    </row>
    <row r="35" spans="1:2" ht="24" customHeight="1">
      <c r="A35" s="21" t="s">
        <v>671</v>
      </c>
      <c r="B35" s="21" t="s">
        <v>685</v>
      </c>
    </row>
    <row r="36" spans="1:2" ht="24" customHeight="1">
      <c r="A36" s="21" t="s">
        <v>673</v>
      </c>
      <c r="B36" s="21" t="s">
        <v>686</v>
      </c>
    </row>
    <row r="37" spans="1:2" ht="24" customHeight="1">
      <c r="A37" s="21" t="s">
        <v>675</v>
      </c>
      <c r="B37" s="21" t="s">
        <v>687</v>
      </c>
    </row>
    <row r="38" spans="1:2" ht="24" customHeight="1">
      <c r="A38" s="21" t="s">
        <v>677</v>
      </c>
      <c r="B38" s="21" t="s">
        <v>688</v>
      </c>
    </row>
    <row r="39" spans="1:2" ht="24" customHeight="1">
      <c r="A39" s="21" t="s">
        <v>678</v>
      </c>
      <c r="B39" s="21" t="s">
        <v>44</v>
      </c>
    </row>
    <row r="40" spans="1:2" ht="24" customHeight="1">
      <c r="A40" s="16"/>
      <c r="B40" s="16"/>
    </row>
    <row r="41" spans="1:2" ht="24" customHeight="1">
      <c r="A41" s="13" t="s">
        <v>689</v>
      </c>
      <c r="B41" s="16"/>
    </row>
    <row r="42" spans="1:2" ht="24" customHeight="1">
      <c r="A42" s="20" t="s">
        <v>612</v>
      </c>
      <c r="B42" s="20" t="s">
        <v>613</v>
      </c>
    </row>
    <row r="43" spans="1:2" ht="24" customHeight="1">
      <c r="A43" s="21" t="s">
        <v>663</v>
      </c>
      <c r="B43" s="21" t="s">
        <v>781</v>
      </c>
    </row>
    <row r="44" spans="1:2" ht="24" customHeight="1">
      <c r="A44" s="21" t="s">
        <v>665</v>
      </c>
      <c r="B44" s="21" t="s">
        <v>691</v>
      </c>
    </row>
    <row r="45" spans="1:2" ht="24" customHeight="1">
      <c r="A45" s="21" t="s">
        <v>667</v>
      </c>
      <c r="B45" s="21" t="s">
        <v>692</v>
      </c>
    </row>
    <row r="46" spans="1:2" ht="24" customHeight="1">
      <c r="A46" s="21" t="s">
        <v>669</v>
      </c>
      <c r="B46" s="21" t="s">
        <v>782</v>
      </c>
    </row>
    <row r="47" spans="1:2" ht="24" customHeight="1">
      <c r="A47" s="21" t="s">
        <v>671</v>
      </c>
      <c r="B47" s="21" t="s">
        <v>694</v>
      </c>
    </row>
    <row r="48" spans="1:2" ht="24" customHeight="1">
      <c r="A48" s="21" t="s">
        <v>673</v>
      </c>
      <c r="B48" s="21" t="s">
        <v>695</v>
      </c>
    </row>
    <row r="49" spans="1:2" ht="24" customHeight="1">
      <c r="A49" s="21" t="s">
        <v>675</v>
      </c>
      <c r="B49" s="21" t="s">
        <v>696</v>
      </c>
    </row>
    <row r="50" spans="1:2" ht="24" customHeight="1">
      <c r="A50" s="21" t="s">
        <v>677</v>
      </c>
      <c r="B50" s="21" t="s">
        <v>697</v>
      </c>
    </row>
    <row r="51" spans="1:2" ht="24" customHeight="1">
      <c r="A51" s="21" t="s">
        <v>678</v>
      </c>
      <c r="B51" s="21" t="s">
        <v>44</v>
      </c>
    </row>
    <row r="52" spans="1:2" ht="24" customHeight="1">
      <c r="A52" s="16"/>
      <c r="B52" s="16"/>
    </row>
    <row r="53" spans="1:2" ht="24" customHeight="1">
      <c r="A53" s="23" t="s">
        <v>698</v>
      </c>
      <c r="B53" s="16"/>
    </row>
    <row r="54" spans="1:2" ht="24" customHeight="1">
      <c r="A54" s="20" t="s">
        <v>612</v>
      </c>
      <c r="B54" s="20" t="s">
        <v>613</v>
      </c>
    </row>
    <row r="55" spans="1:2" ht="24" customHeight="1">
      <c r="A55" s="21" t="s">
        <v>663</v>
      </c>
      <c r="B55" s="21" t="s">
        <v>783</v>
      </c>
    </row>
    <row r="56" spans="1:2" ht="24" customHeight="1">
      <c r="A56" s="21" t="s">
        <v>665</v>
      </c>
      <c r="B56" s="21" t="s">
        <v>700</v>
      </c>
    </row>
    <row r="57" spans="1:2" ht="24" customHeight="1">
      <c r="A57" s="21" t="s">
        <v>667</v>
      </c>
      <c r="B57" s="21" t="s">
        <v>701</v>
      </c>
    </row>
    <row r="58" spans="1:2" ht="24" customHeight="1">
      <c r="A58" s="21" t="s">
        <v>669</v>
      </c>
      <c r="B58" s="21" t="s">
        <v>702</v>
      </c>
    </row>
    <row r="59" spans="1:2" ht="24" customHeight="1">
      <c r="A59" s="21" t="s">
        <v>671</v>
      </c>
      <c r="B59" s="21" t="s">
        <v>703</v>
      </c>
    </row>
    <row r="60" spans="1:2" ht="24" customHeight="1">
      <c r="A60" s="21" t="s">
        <v>673</v>
      </c>
      <c r="B60" s="22" t="s">
        <v>784</v>
      </c>
    </row>
    <row r="61" spans="1:2" ht="24" customHeight="1">
      <c r="A61" s="21" t="s">
        <v>675</v>
      </c>
      <c r="B61" s="21" t="s">
        <v>705</v>
      </c>
    </row>
    <row r="62" spans="1:2" ht="24" customHeight="1">
      <c r="A62" s="21" t="s">
        <v>677</v>
      </c>
      <c r="B62" s="21" t="s">
        <v>706</v>
      </c>
    </row>
    <row r="63" spans="1:2" ht="24" customHeight="1">
      <c r="A63" s="21" t="s">
        <v>678</v>
      </c>
      <c r="B63" s="21" t="s">
        <v>707</v>
      </c>
    </row>
    <row r="64" spans="1:2" ht="24" customHeight="1">
      <c r="A64" s="16"/>
      <c r="B64" s="16"/>
    </row>
    <row r="65" spans="1:2" ht="24" customHeight="1">
      <c r="A65" s="13" t="s">
        <v>708</v>
      </c>
      <c r="B65" s="16"/>
    </row>
    <row r="66" spans="1:2" ht="24" customHeight="1">
      <c r="A66" s="20" t="s">
        <v>612</v>
      </c>
      <c r="B66" s="20" t="s">
        <v>613</v>
      </c>
    </row>
    <row r="67" spans="1:2" ht="24" customHeight="1">
      <c r="A67" s="21" t="s">
        <v>663</v>
      </c>
      <c r="B67" s="21" t="s">
        <v>709</v>
      </c>
    </row>
    <row r="68" spans="1:2" ht="24" customHeight="1">
      <c r="A68" s="21" t="s">
        <v>665</v>
      </c>
      <c r="B68" s="21" t="s">
        <v>710</v>
      </c>
    </row>
    <row r="69" spans="1:2" ht="24" customHeight="1">
      <c r="A69" s="21" t="s">
        <v>667</v>
      </c>
      <c r="B69" s="21" t="s">
        <v>711</v>
      </c>
    </row>
    <row r="70" spans="1:2" ht="24" customHeight="1">
      <c r="A70" s="21" t="s">
        <v>669</v>
      </c>
      <c r="B70" s="21" t="s">
        <v>785</v>
      </c>
    </row>
    <row r="71" spans="1:2" ht="24" customHeight="1">
      <c r="A71" s="21" t="s">
        <v>671</v>
      </c>
      <c r="B71" s="21" t="s">
        <v>713</v>
      </c>
    </row>
    <row r="72" spans="1:2" ht="24" customHeight="1">
      <c r="A72" s="21" t="s">
        <v>673</v>
      </c>
      <c r="B72" s="21" t="s">
        <v>714</v>
      </c>
    </row>
    <row r="73" spans="1:2" ht="24" customHeight="1">
      <c r="A73" s="21" t="s">
        <v>675</v>
      </c>
      <c r="B73" s="21" t="s">
        <v>715</v>
      </c>
    </row>
    <row r="74" spans="1:2" ht="24" customHeight="1">
      <c r="A74" s="21" t="s">
        <v>677</v>
      </c>
      <c r="B74" s="21" t="s">
        <v>39</v>
      </c>
    </row>
    <row r="75" spans="1:2" ht="24" customHeight="1">
      <c r="A75" s="21" t="s">
        <v>678</v>
      </c>
      <c r="B75" s="21" t="s">
        <v>69</v>
      </c>
    </row>
    <row r="76" spans="1:2" ht="24" customHeight="1">
      <c r="A76" s="16"/>
      <c r="B76" s="16"/>
    </row>
    <row r="77" spans="1:2" ht="24" customHeight="1">
      <c r="A77" s="13" t="s">
        <v>716</v>
      </c>
      <c r="B77" s="16"/>
    </row>
    <row r="78" spans="1:2" ht="24" customHeight="1">
      <c r="A78" s="20" t="s">
        <v>612</v>
      </c>
      <c r="B78" s="20" t="s">
        <v>613</v>
      </c>
    </row>
    <row r="79" spans="1:2" ht="24" customHeight="1">
      <c r="A79" s="21" t="s">
        <v>663</v>
      </c>
      <c r="B79" s="21" t="s">
        <v>786</v>
      </c>
    </row>
    <row r="80" spans="1:2" ht="24" customHeight="1">
      <c r="A80" s="21" t="s">
        <v>665</v>
      </c>
      <c r="B80" s="21" t="s">
        <v>718</v>
      </c>
    </row>
    <row r="81" spans="1:2" ht="24" customHeight="1">
      <c r="A81" s="21" t="s">
        <v>667</v>
      </c>
      <c r="B81" s="21" t="s">
        <v>719</v>
      </c>
    </row>
    <row r="82" spans="1:2" ht="24" customHeight="1">
      <c r="A82" s="21" t="s">
        <v>669</v>
      </c>
      <c r="B82" s="21" t="s">
        <v>787</v>
      </c>
    </row>
    <row r="83" spans="1:2" ht="24" customHeight="1">
      <c r="A83" s="21" t="s">
        <v>671</v>
      </c>
      <c r="B83" s="21" t="s">
        <v>721</v>
      </c>
    </row>
    <row r="84" spans="1:2" ht="24" customHeight="1">
      <c r="A84" s="21" t="s">
        <v>673</v>
      </c>
      <c r="B84" s="21" t="s">
        <v>722</v>
      </c>
    </row>
    <row r="85" spans="1:2" ht="24" customHeight="1">
      <c r="A85" s="21" t="s">
        <v>675</v>
      </c>
      <c r="B85" s="21" t="s">
        <v>723</v>
      </c>
    </row>
    <row r="86" spans="1:2" ht="24" customHeight="1">
      <c r="A86" s="21" t="s">
        <v>677</v>
      </c>
      <c r="B86" s="21" t="s">
        <v>724</v>
      </c>
    </row>
    <row r="87" spans="1:2" ht="24" customHeight="1">
      <c r="A87" s="21" t="s">
        <v>678</v>
      </c>
      <c r="B87" s="21" t="s">
        <v>69</v>
      </c>
    </row>
    <row r="88" spans="1:2" ht="24" customHeight="1">
      <c r="A88" s="16"/>
      <c r="B88" s="16"/>
    </row>
    <row r="89" spans="1:2" ht="24" customHeight="1">
      <c r="A89" s="13" t="s">
        <v>725</v>
      </c>
      <c r="B89" s="16"/>
    </row>
    <row r="90" spans="1:2" ht="24" customHeight="1">
      <c r="A90" s="20" t="s">
        <v>612</v>
      </c>
      <c r="B90" s="20" t="s">
        <v>613</v>
      </c>
    </row>
    <row r="91" spans="1:2" ht="24" customHeight="1">
      <c r="A91" s="21" t="s">
        <v>663</v>
      </c>
      <c r="B91" s="21" t="s">
        <v>726</v>
      </c>
    </row>
    <row r="92" spans="1:2" ht="24" customHeight="1">
      <c r="A92" s="21" t="s">
        <v>665</v>
      </c>
      <c r="B92" s="21" t="s">
        <v>727</v>
      </c>
    </row>
    <row r="93" spans="1:2" ht="24" customHeight="1">
      <c r="A93" s="21" t="s">
        <v>667</v>
      </c>
      <c r="B93" s="21" t="s">
        <v>728</v>
      </c>
    </row>
    <row r="94" spans="1:2" ht="24" customHeight="1">
      <c r="A94" s="21" t="s">
        <v>669</v>
      </c>
      <c r="B94" s="21" t="s">
        <v>729</v>
      </c>
    </row>
    <row r="95" spans="1:2" ht="24" customHeight="1">
      <c r="A95" s="21" t="s">
        <v>673</v>
      </c>
      <c r="B95" s="21" t="s">
        <v>730</v>
      </c>
    </row>
    <row r="96" spans="1:2" ht="24" customHeight="1">
      <c r="A96" s="21" t="s">
        <v>675</v>
      </c>
      <c r="B96" s="21" t="s">
        <v>731</v>
      </c>
    </row>
    <row r="97" spans="1:2" ht="24" customHeight="1">
      <c r="A97" s="21" t="s">
        <v>677</v>
      </c>
      <c r="B97" s="21" t="s">
        <v>732</v>
      </c>
    </row>
    <row r="98" spans="1:2" ht="24" customHeight="1">
      <c r="A98" s="21" t="s">
        <v>678</v>
      </c>
      <c r="B98" s="21" t="s">
        <v>77</v>
      </c>
    </row>
    <row r="99" spans="1:2" ht="24" customHeight="1">
      <c r="A99" s="16"/>
      <c r="B99" s="16"/>
    </row>
    <row r="100" spans="1:2" ht="24" customHeight="1">
      <c r="A100" s="16" t="s">
        <v>788</v>
      </c>
      <c r="B100" s="16"/>
    </row>
    <row r="101" spans="1:2" ht="24" customHeight="1">
      <c r="A101" s="20" t="s">
        <v>734</v>
      </c>
      <c r="B101" s="20" t="s">
        <v>735</v>
      </c>
    </row>
    <row r="102" spans="1:2" ht="24" customHeight="1">
      <c r="A102" s="21" t="s">
        <v>738</v>
      </c>
      <c r="B102" s="21" t="s">
        <v>739</v>
      </c>
    </row>
    <row r="103" spans="1:2" ht="24" customHeight="1">
      <c r="A103" s="21" t="s">
        <v>742</v>
      </c>
      <c r="B103" s="21" t="s">
        <v>743</v>
      </c>
    </row>
    <row r="104" spans="1:2" ht="24" customHeight="1">
      <c r="A104" s="21" t="s">
        <v>746</v>
      </c>
      <c r="B104" s="21" t="s">
        <v>747</v>
      </c>
    </row>
    <row r="105" spans="1:2" ht="24" customHeight="1">
      <c r="A105" s="21" t="s">
        <v>750</v>
      </c>
      <c r="B105" s="21" t="s">
        <v>751</v>
      </c>
    </row>
    <row r="106" spans="1:2" ht="24" customHeight="1">
      <c r="A106" s="21" t="s">
        <v>754</v>
      </c>
      <c r="B106" s="21" t="s">
        <v>755</v>
      </c>
    </row>
    <row r="107" spans="1:2" ht="24" customHeight="1">
      <c r="A107" s="21" t="s">
        <v>758</v>
      </c>
      <c r="B107" s="21" t="s">
        <v>759</v>
      </c>
    </row>
    <row r="108" spans="1:2" ht="24" customHeight="1">
      <c r="A108" s="16"/>
      <c r="B108" s="1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E7D8-CE2F-4115-ACE3-77DF0959DD3B}">
  <dimension ref="A1"/>
  <sheetViews>
    <sheetView workbookViewId="0">
      <selection activeCell="J54" sqref="J53:J54"/>
    </sheetView>
  </sheetViews>
  <sheetFormatPr defaultRowHeight="15.6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630A-A8C2-4EC8-A0C3-A5D28A8F2544}">
  <dimension ref="A2:H10"/>
  <sheetViews>
    <sheetView workbookViewId="0">
      <selection activeCell="B12" sqref="B12"/>
    </sheetView>
  </sheetViews>
  <sheetFormatPr defaultColWidth="34.109375" defaultRowHeight="24" customHeight="1"/>
  <sheetData>
    <row r="2" spans="1:8" ht="24" customHeight="1">
      <c r="A2" s="24" t="s">
        <v>466</v>
      </c>
      <c r="B2" s="24" t="s">
        <v>467</v>
      </c>
      <c r="C2" s="24" t="s">
        <v>468</v>
      </c>
      <c r="D2" s="24" t="s">
        <v>469</v>
      </c>
      <c r="E2" s="24" t="s">
        <v>219</v>
      </c>
      <c r="F2" s="24" t="s">
        <v>223</v>
      </c>
      <c r="G2" s="24" t="s">
        <v>470</v>
      </c>
      <c r="H2" s="24" t="s">
        <v>35</v>
      </c>
    </row>
    <row r="3" spans="1:8" ht="24" customHeight="1">
      <c r="A3" s="25" t="s">
        <v>471</v>
      </c>
      <c r="B3" s="25" t="s">
        <v>472</v>
      </c>
      <c r="C3" s="25" t="s">
        <v>473</v>
      </c>
      <c r="D3" s="25" t="s">
        <v>474</v>
      </c>
      <c r="E3" s="25" t="s">
        <v>475</v>
      </c>
      <c r="F3" s="25" t="s">
        <v>475</v>
      </c>
      <c r="G3" s="25" t="s">
        <v>44</v>
      </c>
      <c r="H3" s="25"/>
    </row>
    <row r="4" spans="1:8" ht="24" customHeight="1">
      <c r="A4" s="25" t="s">
        <v>476</v>
      </c>
      <c r="B4" s="25" t="s">
        <v>477</v>
      </c>
      <c r="C4" s="25" t="s">
        <v>473</v>
      </c>
      <c r="D4" s="25" t="s">
        <v>478</v>
      </c>
      <c r="E4" s="25" t="s">
        <v>475</v>
      </c>
      <c r="F4" s="25" t="s">
        <v>475</v>
      </c>
      <c r="G4" s="25" t="s">
        <v>44</v>
      </c>
      <c r="H4" s="25"/>
    </row>
    <row r="5" spans="1:8" ht="24" customHeight="1">
      <c r="A5" s="25" t="s">
        <v>479</v>
      </c>
      <c r="B5" s="25" t="s">
        <v>480</v>
      </c>
      <c r="C5" s="25" t="s">
        <v>473</v>
      </c>
      <c r="D5" s="25" t="s">
        <v>481</v>
      </c>
      <c r="E5" s="25" t="s">
        <v>475</v>
      </c>
      <c r="F5" s="25" t="s">
        <v>475</v>
      </c>
      <c r="G5" s="25" t="s">
        <v>69</v>
      </c>
      <c r="H5" s="25"/>
    </row>
    <row r="6" spans="1:8" ht="24" customHeight="1">
      <c r="A6" s="25" t="s">
        <v>482</v>
      </c>
      <c r="B6" s="25" t="s">
        <v>483</v>
      </c>
      <c r="C6" s="25" t="s">
        <v>473</v>
      </c>
      <c r="D6" s="25" t="s">
        <v>484</v>
      </c>
      <c r="E6" s="25" t="s">
        <v>475</v>
      </c>
      <c r="F6" s="25" t="s">
        <v>475</v>
      </c>
      <c r="G6" s="25" t="s">
        <v>69</v>
      </c>
      <c r="H6" s="25"/>
    </row>
    <row r="7" spans="1:8" ht="24" customHeight="1">
      <c r="A7" s="25" t="s">
        <v>485</v>
      </c>
      <c r="B7" s="25" t="s">
        <v>486</v>
      </c>
      <c r="C7" s="25" t="s">
        <v>473</v>
      </c>
      <c r="D7" s="25" t="s">
        <v>487</v>
      </c>
      <c r="E7" s="25" t="s">
        <v>475</v>
      </c>
      <c r="F7" s="25" t="s">
        <v>475</v>
      </c>
      <c r="G7" s="25" t="s">
        <v>44</v>
      </c>
      <c r="H7" s="25"/>
    </row>
    <row r="8" spans="1:8" ht="24" customHeight="1">
      <c r="A8" s="25" t="s">
        <v>488</v>
      </c>
      <c r="B8" s="25" t="s">
        <v>489</v>
      </c>
      <c r="C8" s="25" t="s">
        <v>473</v>
      </c>
      <c r="D8" s="25" t="s">
        <v>490</v>
      </c>
      <c r="E8" s="25" t="s">
        <v>475</v>
      </c>
      <c r="F8" s="25" t="s">
        <v>475</v>
      </c>
      <c r="G8" s="25" t="s">
        <v>44</v>
      </c>
      <c r="H8" s="25"/>
    </row>
    <row r="9" spans="1:8" ht="24" customHeight="1">
      <c r="A9" s="25" t="s">
        <v>491</v>
      </c>
      <c r="B9" s="25" t="s">
        <v>492</v>
      </c>
      <c r="C9" s="25" t="s">
        <v>473</v>
      </c>
      <c r="D9" s="25" t="s">
        <v>490</v>
      </c>
      <c r="E9" s="25" t="s">
        <v>475</v>
      </c>
      <c r="F9" s="25" t="s">
        <v>475</v>
      </c>
      <c r="G9" s="25" t="s">
        <v>44</v>
      </c>
      <c r="H9" s="25"/>
    </row>
    <row r="10" spans="1:8" ht="24" customHeight="1">
      <c r="A10" s="25" t="s">
        <v>493</v>
      </c>
      <c r="B10" s="25" t="s">
        <v>494</v>
      </c>
      <c r="C10" s="25" t="s">
        <v>473</v>
      </c>
      <c r="D10" s="25" t="s">
        <v>495</v>
      </c>
      <c r="E10" s="25" t="s">
        <v>475</v>
      </c>
      <c r="F10" s="25" t="s">
        <v>475</v>
      </c>
      <c r="G10" s="25" t="s">
        <v>69</v>
      </c>
      <c r="H10" s="25"/>
    </row>
  </sheetData>
  <phoneticPr fontId="1" type="noConversion"/>
  <dataValidations count="3">
    <dataValidation type="list" allowBlank="1" sqref="G3:G10" xr:uid="{8652A2BE-197D-4C90-B463-0A4D17E4881C}">
      <formula1>"P0,P1,P2,P3"</formula1>
    </dataValidation>
    <dataValidation type="list" allowBlank="1" sqref="E3:F10" xr:uid="{6F3B97C2-5C01-41F6-8277-DE7E1E189EEE}">
      <formula1>"Y,N"</formula1>
    </dataValidation>
    <dataValidation type="list" allowBlank="1" sqref="C3:C10" xr:uid="{376E6CFD-144D-42A6-B70D-E89FDE32D8DC}">
      <formula1>"Client,Server,Both"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EFAB-1600-4202-94AC-41161911021D}">
  <dimension ref="A1:R445"/>
  <sheetViews>
    <sheetView tabSelected="1" topLeftCell="A287" workbookViewId="0">
      <selection activeCell="B445" sqref="B445"/>
    </sheetView>
  </sheetViews>
  <sheetFormatPr defaultRowHeight="24" customHeight="1"/>
  <cols>
    <col min="1" max="1" width="33" style="1" customWidth="1"/>
    <col min="2" max="2" width="109.77734375" style="1" customWidth="1"/>
    <col min="3" max="3" width="34.33203125" style="1" bestFit="1" customWidth="1"/>
    <col min="4" max="4" width="33" style="1" bestFit="1" customWidth="1"/>
    <col min="5" max="5" width="39.88671875" style="1" bestFit="1" customWidth="1"/>
    <col min="6" max="6" width="49.88671875" style="1" bestFit="1" customWidth="1"/>
    <col min="7" max="7" width="52.44140625" style="1" bestFit="1" customWidth="1"/>
    <col min="8" max="8" width="49.33203125" style="1" bestFit="1" customWidth="1"/>
    <col min="9" max="9" width="44.77734375" style="1" bestFit="1" customWidth="1"/>
    <col min="10" max="10" width="15.21875" style="1" bestFit="1" customWidth="1"/>
    <col min="11" max="11" width="26.109375" style="1" bestFit="1" customWidth="1"/>
    <col min="12" max="12" width="13" style="1" bestFit="1" customWidth="1"/>
    <col min="13" max="13" width="12.21875" style="1" bestFit="1" customWidth="1"/>
    <col min="14" max="14" width="7.6640625" style="1" bestFit="1" customWidth="1"/>
    <col min="15" max="15" width="7.109375" style="1" bestFit="1" customWidth="1"/>
    <col min="16" max="16" width="15.109375" style="1" bestFit="1" customWidth="1"/>
    <col min="17" max="17" width="7.109375" style="1" bestFit="1" customWidth="1"/>
    <col min="18" max="18" width="6.33203125" style="1" bestFit="1" customWidth="1"/>
    <col min="19" max="16384" width="8.88671875" style="1"/>
  </cols>
  <sheetData>
    <row r="1" spans="1:5" ht="24" customHeight="1">
      <c r="A1" s="1" t="s">
        <v>0</v>
      </c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4" customHeight="1">
      <c r="A3" s="3" t="s">
        <v>6</v>
      </c>
      <c r="B3" s="3" t="e">
        <f>COUNTIF('[1]1_Master_Backlog'!C:C, A3)</f>
        <v>#VALUE!</v>
      </c>
      <c r="C3" s="3" t="e">
        <f>COUNTIFS('[1]1_Master_Backlog'!C:C, A3, '[1]1_Master_Backlog'!M:M, "Done")</f>
        <v>#VALUE!</v>
      </c>
      <c r="D3" s="3" t="e">
        <f>COUNTIFS('[1]1_Master_Backlog'!C:C, A3, '[1]1_Master_Backlog'!M:M, "In Progress")</f>
        <v>#VALUE!</v>
      </c>
      <c r="E3" s="3" t="e">
        <f>COUNTIFS('[1]1_Master_Backlog'!C:C, A3, '[1]1_Master_Backlog'!M:M, "Blocked")</f>
        <v>#VALUE!</v>
      </c>
    </row>
    <row r="4" spans="1:5" ht="24" customHeight="1">
      <c r="A4" s="3" t="s">
        <v>7</v>
      </c>
      <c r="B4" s="3" t="e">
        <f>COUNTIF('[1]1_Master_Backlog'!C:C, A4)</f>
        <v>#VALUE!</v>
      </c>
      <c r="C4" s="3" t="e">
        <f>COUNTIFS('[1]1_Master_Backlog'!C:C, A4, '[1]1_Master_Backlog'!M:M, "Done")</f>
        <v>#VALUE!</v>
      </c>
      <c r="D4" s="3" t="e">
        <f>COUNTIFS('[1]1_Master_Backlog'!C:C, A4, '[1]1_Master_Backlog'!M:M, "In Progress")</f>
        <v>#VALUE!</v>
      </c>
      <c r="E4" s="3" t="e">
        <f>COUNTIFS('[1]1_Master_Backlog'!C:C, A4, '[1]1_Master_Backlog'!M:M, "Blocked")</f>
        <v>#VALUE!</v>
      </c>
    </row>
    <row r="5" spans="1:5" ht="24" customHeight="1">
      <c r="A5" s="3" t="s">
        <v>8</v>
      </c>
      <c r="B5" s="3" t="e">
        <f>COUNTIF('[1]1_Master_Backlog'!C:C, A5)</f>
        <v>#VALUE!</v>
      </c>
      <c r="C5" s="3" t="e">
        <f>COUNTIFS('[1]1_Master_Backlog'!C:C, A5, '[1]1_Master_Backlog'!M:M, "Done")</f>
        <v>#VALUE!</v>
      </c>
      <c r="D5" s="3" t="e">
        <f>COUNTIFS('[1]1_Master_Backlog'!C:C, A5, '[1]1_Master_Backlog'!M:M, "In Progress")</f>
        <v>#VALUE!</v>
      </c>
      <c r="E5" s="3" t="e">
        <f>COUNTIFS('[1]1_Master_Backlog'!C:C, A5, '[1]1_Master_Backlog'!M:M, "Blocked")</f>
        <v>#VALUE!</v>
      </c>
    </row>
    <row r="6" spans="1:5" ht="24" customHeight="1">
      <c r="A6" s="3" t="s">
        <v>9</v>
      </c>
      <c r="B6" s="3" t="e">
        <f>COUNTIF('[1]1_Master_Backlog'!C:C, A6)</f>
        <v>#VALUE!</v>
      </c>
      <c r="C6" s="3" t="e">
        <f>COUNTIFS('[1]1_Master_Backlog'!C:C, A6, '[1]1_Master_Backlog'!M:M, "Done")</f>
        <v>#VALUE!</v>
      </c>
      <c r="D6" s="3" t="e">
        <f>COUNTIFS('[1]1_Master_Backlog'!C:C, A6, '[1]1_Master_Backlog'!M:M, "In Progress")</f>
        <v>#VALUE!</v>
      </c>
      <c r="E6" s="3" t="e">
        <f>COUNTIFS('[1]1_Master_Backlog'!C:C, A6, '[1]1_Master_Backlog'!M:M, "Blocked")</f>
        <v>#VALUE!</v>
      </c>
    </row>
    <row r="7" spans="1:5" ht="24" customHeight="1">
      <c r="A7" s="3" t="s">
        <v>10</v>
      </c>
      <c r="B7" s="3" t="e">
        <f>COUNTIF('[1]1_Master_Backlog'!C:C, A7)</f>
        <v>#VALUE!</v>
      </c>
      <c r="C7" s="3" t="e">
        <f>COUNTIFS('[1]1_Master_Backlog'!C:C, A7, '[1]1_Master_Backlog'!M:M, "Done")</f>
        <v>#VALUE!</v>
      </c>
      <c r="D7" s="3" t="e">
        <f>COUNTIFS('[1]1_Master_Backlog'!C:C, A7, '[1]1_Master_Backlog'!M:M, "In Progress")</f>
        <v>#VALUE!</v>
      </c>
      <c r="E7" s="3" t="e">
        <f>COUNTIFS('[1]1_Master_Backlog'!C:C, A7, '[1]1_Master_Backlog'!M:M, "Blocked")</f>
        <v>#VALUE!</v>
      </c>
    </row>
    <row r="8" spans="1:5" ht="24" customHeight="1">
      <c r="A8" s="3" t="s">
        <v>11</v>
      </c>
      <c r="B8" s="3" t="e">
        <f>COUNTIF('[1]1_Master_Backlog'!C:C, A8)</f>
        <v>#VALUE!</v>
      </c>
      <c r="C8" s="3" t="e">
        <f>COUNTIFS('[1]1_Master_Backlog'!C:C, A8, '[1]1_Master_Backlog'!M:M, "Done")</f>
        <v>#VALUE!</v>
      </c>
      <c r="D8" s="3" t="e">
        <f>COUNTIFS('[1]1_Master_Backlog'!C:C, A8, '[1]1_Master_Backlog'!M:M, "In Progress")</f>
        <v>#VALUE!</v>
      </c>
      <c r="E8" s="3" t="e">
        <f>COUNTIFS('[1]1_Master_Backlog'!C:C, A8, '[1]1_Master_Backlog'!M:M, "Blocked")</f>
        <v>#VALUE!</v>
      </c>
    </row>
    <row r="9" spans="1:5" ht="24" customHeight="1">
      <c r="A9" s="3" t="s">
        <v>12</v>
      </c>
      <c r="B9" s="3" t="e">
        <f>COUNTIF('[1]1_Master_Backlog'!C:C, A9)</f>
        <v>#VALUE!</v>
      </c>
      <c r="C9" s="3" t="e">
        <f>COUNTIFS('[1]1_Master_Backlog'!C:C, A9, '[1]1_Master_Backlog'!M:M, "Done")</f>
        <v>#VALUE!</v>
      </c>
      <c r="D9" s="3" t="e">
        <f>COUNTIFS('[1]1_Master_Backlog'!C:C, A9, '[1]1_Master_Backlog'!M:M, "In Progress")</f>
        <v>#VALUE!</v>
      </c>
      <c r="E9" s="3" t="e">
        <f>COUNTIFS('[1]1_Master_Backlog'!C:C, A9, '[1]1_Master_Backlog'!M:M, "Blocked")</f>
        <v>#VALUE!</v>
      </c>
    </row>
    <row r="10" spans="1:5" ht="24" customHeight="1">
      <c r="A10" s="3" t="s">
        <v>13</v>
      </c>
      <c r="B10" s="3" t="e">
        <f>COUNTIF('[1]1_Master_Backlog'!C:C, A10)</f>
        <v>#VALUE!</v>
      </c>
      <c r="C10" s="3" t="e">
        <f>COUNTIFS('[1]1_Master_Backlog'!C:C, A10, '[1]1_Master_Backlog'!M:M, "Done")</f>
        <v>#VALUE!</v>
      </c>
      <c r="D10" s="3" t="e">
        <f>COUNTIFS('[1]1_Master_Backlog'!C:C, A10, '[1]1_Master_Backlog'!M:M, "In Progress")</f>
        <v>#VALUE!</v>
      </c>
      <c r="E10" s="3" t="e">
        <f>COUNTIFS('[1]1_Master_Backlog'!C:C, A10, '[1]1_Master_Backlog'!M:M, "Blocked")</f>
        <v>#VALUE!</v>
      </c>
    </row>
    <row r="11" spans="1:5" ht="24" customHeight="1">
      <c r="A11" s="3" t="s">
        <v>14</v>
      </c>
      <c r="B11" s="3" t="e">
        <f>COUNTIF('[1]1_Master_Backlog'!C:C, A11)</f>
        <v>#VALUE!</v>
      </c>
      <c r="C11" s="3" t="e">
        <f>COUNTIFS('[1]1_Master_Backlog'!C:C, A11, '[1]1_Master_Backlog'!M:M, "Done")</f>
        <v>#VALUE!</v>
      </c>
      <c r="D11" s="3" t="e">
        <f>COUNTIFS('[1]1_Master_Backlog'!C:C, A11, '[1]1_Master_Backlog'!M:M, "In Progress")</f>
        <v>#VALUE!</v>
      </c>
      <c r="E11" s="3" t="e">
        <f>COUNTIFS('[1]1_Master_Backlog'!C:C, A11, '[1]1_Master_Backlog'!M:M, "Blocked")</f>
        <v>#VALUE!</v>
      </c>
    </row>
    <row r="12" spans="1:5" ht="24" customHeight="1">
      <c r="A12" s="3" t="s">
        <v>15</v>
      </c>
      <c r="B12" s="3" t="e">
        <f>COUNTIF('[1]1_Master_Backlog'!C:C, A12)</f>
        <v>#VALUE!</v>
      </c>
      <c r="C12" s="3" t="e">
        <f>COUNTIFS('[1]1_Master_Backlog'!C:C, A12, '[1]1_Master_Backlog'!M:M, "Done")</f>
        <v>#VALUE!</v>
      </c>
      <c r="D12" s="3" t="e">
        <f>COUNTIFS('[1]1_Master_Backlog'!C:C, A12, '[1]1_Master_Backlog'!M:M, "In Progress")</f>
        <v>#VALUE!</v>
      </c>
      <c r="E12" s="3" t="e">
        <f>COUNTIFS('[1]1_Master_Backlog'!C:C, A12, '[1]1_Master_Backlog'!M:M, "Blocked")</f>
        <v>#VALUE!</v>
      </c>
    </row>
    <row r="13" spans="1:5" ht="24" customHeight="1">
      <c r="A13" s="3" t="s">
        <v>16</v>
      </c>
      <c r="B13" s="3" t="e">
        <f>COUNTIF('[1]1_Master_Backlog'!C:C, A13)</f>
        <v>#VALUE!</v>
      </c>
      <c r="C13" s="3" t="e">
        <f>COUNTIFS('[1]1_Master_Backlog'!C:C, A13, '[1]1_Master_Backlog'!M:M, "Done")</f>
        <v>#VALUE!</v>
      </c>
      <c r="D13" s="3" t="e">
        <f>COUNTIFS('[1]1_Master_Backlog'!C:C, A13, '[1]1_Master_Backlog'!M:M, "In Progress")</f>
        <v>#VALUE!</v>
      </c>
      <c r="E13" s="3" t="e">
        <f>COUNTIFS('[1]1_Master_Backlog'!C:C, A13, '[1]1_Master_Backlog'!M:M, "Blocked")</f>
        <v>#VALUE!</v>
      </c>
    </row>
    <row r="14" spans="1:5" ht="24" customHeight="1">
      <c r="A14" s="3" t="s">
        <v>17</v>
      </c>
      <c r="B14" s="3" t="e">
        <f>COUNTIF('[1]1_Master_Backlog'!C:C, A14)</f>
        <v>#VALUE!</v>
      </c>
      <c r="C14" s="3" t="e">
        <f>COUNTIFS('[1]1_Master_Backlog'!C:C, A14, '[1]1_Master_Backlog'!M:M, "Done")</f>
        <v>#VALUE!</v>
      </c>
      <c r="D14" s="3" t="e">
        <f>COUNTIFS('[1]1_Master_Backlog'!C:C, A14, '[1]1_Master_Backlog'!M:M, "In Progress")</f>
        <v>#VALUE!</v>
      </c>
      <c r="E14" s="3" t="e">
        <f>COUNTIFS('[1]1_Master_Backlog'!C:C, A14, '[1]1_Master_Backlog'!M:M, "Blocked")</f>
        <v>#VALUE!</v>
      </c>
    </row>
    <row r="16" spans="1:5" ht="24" customHeight="1">
      <c r="A16" s="1" t="s">
        <v>18</v>
      </c>
    </row>
    <row r="17" spans="1:18" ht="24" customHeight="1">
      <c r="A17" s="2" t="s">
        <v>19</v>
      </c>
      <c r="B17" s="2" t="s">
        <v>20</v>
      </c>
      <c r="C17" s="2" t="s">
        <v>21</v>
      </c>
      <c r="D17" s="4" t="s">
        <v>22</v>
      </c>
      <c r="E17" s="2" t="s">
        <v>23</v>
      </c>
      <c r="F17" s="2" t="s">
        <v>24</v>
      </c>
      <c r="G17" s="2" t="s">
        <v>25</v>
      </c>
      <c r="H17" s="2" t="s">
        <v>26</v>
      </c>
      <c r="I17" s="2" t="s">
        <v>27</v>
      </c>
      <c r="J17" s="2" t="s">
        <v>28</v>
      </c>
      <c r="K17" s="2" t="s">
        <v>29</v>
      </c>
      <c r="L17" s="2" t="s">
        <v>30</v>
      </c>
      <c r="M17" s="2" t="s">
        <v>31</v>
      </c>
      <c r="N17" s="2" t="s">
        <v>32</v>
      </c>
      <c r="O17" s="2" t="s">
        <v>33</v>
      </c>
      <c r="P17" s="2" t="s">
        <v>34</v>
      </c>
      <c r="Q17" s="2" t="s">
        <v>35</v>
      </c>
      <c r="R17" s="2" t="s">
        <v>36</v>
      </c>
    </row>
    <row r="18" spans="1:18" ht="24" customHeight="1">
      <c r="A18" s="3" t="s">
        <v>37</v>
      </c>
      <c r="B18" s="5" t="s">
        <v>38</v>
      </c>
      <c r="C18" s="3" t="s">
        <v>11</v>
      </c>
      <c r="D18" s="6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/>
      <c r="J18" s="3" t="s">
        <v>44</v>
      </c>
      <c r="K18" s="3" t="s">
        <v>45</v>
      </c>
      <c r="L18" s="3" t="s">
        <v>46</v>
      </c>
      <c r="M18" s="3" t="str">
        <f>'[1]1-1_ID_Execution_Schedule'!E17</f>
        <v>Not Started</v>
      </c>
      <c r="N18" s="3"/>
      <c r="O18" s="3"/>
      <c r="P18" s="3"/>
      <c r="Q18" s="3"/>
      <c r="R18" s="3"/>
    </row>
    <row r="19" spans="1:18" ht="24" customHeight="1">
      <c r="A19" s="3" t="s">
        <v>47</v>
      </c>
      <c r="B19" s="5" t="s">
        <v>38</v>
      </c>
      <c r="C19" s="3" t="s">
        <v>11</v>
      </c>
      <c r="D19" s="6" t="s">
        <v>39</v>
      </c>
      <c r="E19" s="3" t="s">
        <v>40</v>
      </c>
      <c r="F19" s="3" t="s">
        <v>41</v>
      </c>
      <c r="G19" s="3" t="s">
        <v>48</v>
      </c>
      <c r="H19" s="3" t="s">
        <v>49</v>
      </c>
      <c r="I19" s="3"/>
      <c r="J19" s="3" t="s">
        <v>44</v>
      </c>
      <c r="K19" s="3" t="s">
        <v>45</v>
      </c>
      <c r="L19" s="3" t="s">
        <v>46</v>
      </c>
      <c r="M19" s="3" t="str">
        <f>'[1]1-1_ID_Execution_Schedule'!E18</f>
        <v>In Progress</v>
      </c>
      <c r="N19" s="3"/>
      <c r="O19" s="3"/>
      <c r="P19" s="3"/>
      <c r="Q19" s="3"/>
      <c r="R19" s="3"/>
    </row>
    <row r="20" spans="1:18" ht="24" customHeight="1">
      <c r="A20" s="3" t="s">
        <v>50</v>
      </c>
      <c r="B20" s="5" t="s">
        <v>38</v>
      </c>
      <c r="C20" s="3" t="s">
        <v>11</v>
      </c>
      <c r="D20" s="6" t="s">
        <v>39</v>
      </c>
      <c r="E20" s="3" t="s">
        <v>40</v>
      </c>
      <c r="F20" s="3" t="s">
        <v>41</v>
      </c>
      <c r="G20" s="3" t="s">
        <v>51</v>
      </c>
      <c r="H20" s="3" t="s">
        <v>52</v>
      </c>
      <c r="I20" s="3"/>
      <c r="J20" s="3" t="s">
        <v>44</v>
      </c>
      <c r="K20" s="3" t="s">
        <v>45</v>
      </c>
      <c r="L20" s="3" t="s">
        <v>46</v>
      </c>
      <c r="M20" s="3" t="str">
        <f>'[1]1-1_ID_Execution_Schedule'!E19</f>
        <v>In Progress</v>
      </c>
      <c r="N20" s="3"/>
      <c r="O20" s="3"/>
      <c r="P20" s="3"/>
      <c r="Q20" s="3"/>
      <c r="R20" s="3"/>
    </row>
    <row r="21" spans="1:18" ht="24" customHeight="1">
      <c r="A21" s="3" t="s">
        <v>53</v>
      </c>
      <c r="B21" s="5" t="s">
        <v>38</v>
      </c>
      <c r="C21" s="3" t="s">
        <v>11</v>
      </c>
      <c r="D21" s="6" t="s">
        <v>39</v>
      </c>
      <c r="E21" s="3" t="s">
        <v>40</v>
      </c>
      <c r="F21" s="3" t="s">
        <v>54</v>
      </c>
      <c r="G21" s="3" t="s">
        <v>55</v>
      </c>
      <c r="H21" s="3" t="s">
        <v>56</v>
      </c>
      <c r="I21" s="3"/>
      <c r="J21" s="3" t="s">
        <v>44</v>
      </c>
      <c r="K21" s="3" t="s">
        <v>45</v>
      </c>
      <c r="L21" s="3" t="s">
        <v>46</v>
      </c>
      <c r="M21" s="3" t="str">
        <f>'[1]1-1_ID_Execution_Schedule'!E20</f>
        <v>In Progress</v>
      </c>
      <c r="N21" s="3"/>
      <c r="O21" s="3"/>
      <c r="P21" s="3"/>
      <c r="Q21" s="3"/>
      <c r="R21" s="3"/>
    </row>
    <row r="22" spans="1:18" ht="24" customHeight="1">
      <c r="A22" s="3" t="s">
        <v>57</v>
      </c>
      <c r="B22" s="5" t="s">
        <v>38</v>
      </c>
      <c r="C22" s="3" t="s">
        <v>11</v>
      </c>
      <c r="D22" s="6" t="s">
        <v>39</v>
      </c>
      <c r="E22" s="3" t="s">
        <v>40</v>
      </c>
      <c r="F22" s="3" t="s">
        <v>58</v>
      </c>
      <c r="G22" s="3" t="s">
        <v>59</v>
      </c>
      <c r="H22" s="3" t="s">
        <v>60</v>
      </c>
      <c r="I22" s="3"/>
      <c r="J22" s="3" t="s">
        <v>44</v>
      </c>
      <c r="K22" s="3" t="s">
        <v>45</v>
      </c>
      <c r="L22" s="3" t="s">
        <v>46</v>
      </c>
      <c r="M22" s="3" t="str">
        <f>'[1]1-1_ID_Execution_Schedule'!E21</f>
        <v>In Progress</v>
      </c>
      <c r="N22" s="3"/>
      <c r="O22" s="3"/>
      <c r="P22" s="3"/>
      <c r="Q22" s="3"/>
      <c r="R22" s="3"/>
    </row>
    <row r="23" spans="1:18" ht="24" customHeight="1">
      <c r="A23" s="3" t="s">
        <v>61</v>
      </c>
      <c r="B23" s="5" t="s">
        <v>38</v>
      </c>
      <c r="C23" s="3" t="s">
        <v>11</v>
      </c>
      <c r="D23" s="6" t="s">
        <v>39</v>
      </c>
      <c r="E23" s="3" t="s">
        <v>40</v>
      </c>
      <c r="F23" s="3" t="s">
        <v>62</v>
      </c>
      <c r="G23" s="3" t="s">
        <v>63</v>
      </c>
      <c r="H23" s="3" t="s">
        <v>64</v>
      </c>
      <c r="I23" s="3"/>
      <c r="J23" s="3" t="s">
        <v>44</v>
      </c>
      <c r="K23" s="3" t="s">
        <v>45</v>
      </c>
      <c r="L23" s="3" t="s">
        <v>46</v>
      </c>
      <c r="M23" s="3" t="str">
        <f>'[1]1-1_ID_Execution_Schedule'!E22</f>
        <v>Not Started</v>
      </c>
      <c r="N23" s="3"/>
      <c r="O23" s="3"/>
      <c r="P23" s="3"/>
      <c r="Q23" s="3"/>
      <c r="R23" s="3"/>
    </row>
    <row r="24" spans="1:18" ht="24" customHeight="1">
      <c r="A24" s="3" t="s">
        <v>65</v>
      </c>
      <c r="B24" s="5" t="s">
        <v>38</v>
      </c>
      <c r="C24" s="3" t="s">
        <v>11</v>
      </c>
      <c r="D24" s="6" t="s">
        <v>39</v>
      </c>
      <c r="E24" s="3" t="s">
        <v>40</v>
      </c>
      <c r="F24" s="3" t="s">
        <v>66</v>
      </c>
      <c r="G24" s="3" t="s">
        <v>67</v>
      </c>
      <c r="H24" s="3" t="s">
        <v>68</v>
      </c>
      <c r="I24" s="3"/>
      <c r="J24" s="3" t="s">
        <v>69</v>
      </c>
      <c r="K24" s="3" t="s">
        <v>70</v>
      </c>
      <c r="L24" s="3" t="s">
        <v>71</v>
      </c>
      <c r="M24" s="3" t="str">
        <f>'[1]1-1_ID_Execution_Schedule'!E23</f>
        <v>Not Started</v>
      </c>
      <c r="N24" s="3"/>
      <c r="O24" s="3"/>
      <c r="P24" s="3"/>
      <c r="Q24" s="3"/>
      <c r="R24" s="3"/>
    </row>
    <row r="25" spans="1:18" ht="24" customHeight="1">
      <c r="A25" s="3" t="s">
        <v>72</v>
      </c>
      <c r="B25" s="5" t="s">
        <v>73</v>
      </c>
      <c r="C25" s="3" t="s">
        <v>11</v>
      </c>
      <c r="D25" s="6" t="s">
        <v>39</v>
      </c>
      <c r="E25" s="3" t="s">
        <v>40</v>
      </c>
      <c r="F25" s="3" t="s">
        <v>74</v>
      </c>
      <c r="G25" s="3" t="s">
        <v>75</v>
      </c>
      <c r="H25" s="3" t="s">
        <v>76</v>
      </c>
      <c r="I25" s="3"/>
      <c r="J25" s="3" t="s">
        <v>77</v>
      </c>
      <c r="K25" s="3" t="s">
        <v>70</v>
      </c>
      <c r="L25" s="3" t="s">
        <v>46</v>
      </c>
      <c r="M25" s="3" t="str">
        <f>'[1]1-1_ID_Execution_Schedule'!E24</f>
        <v>Not Started</v>
      </c>
      <c r="N25" s="3"/>
      <c r="O25" s="3"/>
      <c r="P25" s="3"/>
      <c r="Q25" s="3"/>
      <c r="R25" s="3"/>
    </row>
    <row r="26" spans="1:18" ht="24" customHeight="1">
      <c r="A26" s="3" t="s">
        <v>78</v>
      </c>
      <c r="B26" s="5" t="s">
        <v>73</v>
      </c>
      <c r="C26" s="3" t="s">
        <v>11</v>
      </c>
      <c r="D26" s="6" t="s">
        <v>39</v>
      </c>
      <c r="E26" s="3" t="s">
        <v>40</v>
      </c>
      <c r="F26" s="3" t="s">
        <v>79</v>
      </c>
      <c r="G26" s="3" t="s">
        <v>80</v>
      </c>
      <c r="H26" s="3" t="s">
        <v>81</v>
      </c>
      <c r="I26" s="3"/>
      <c r="J26" s="3" t="s">
        <v>69</v>
      </c>
      <c r="K26" s="3" t="s">
        <v>70</v>
      </c>
      <c r="L26" s="3" t="s">
        <v>46</v>
      </c>
      <c r="M26" s="3" t="str">
        <f>'[1]1-1_ID_Execution_Schedule'!E25</f>
        <v>Not Started</v>
      </c>
      <c r="N26" s="3"/>
      <c r="O26" s="3"/>
      <c r="P26" s="3"/>
      <c r="Q26" s="3"/>
      <c r="R26" s="3"/>
    </row>
    <row r="27" spans="1:18" ht="24" customHeight="1">
      <c r="A27" s="3" t="s">
        <v>82</v>
      </c>
      <c r="B27" s="5" t="s">
        <v>73</v>
      </c>
      <c r="C27" s="3" t="s">
        <v>11</v>
      </c>
      <c r="D27" s="6" t="s">
        <v>39</v>
      </c>
      <c r="E27" s="3" t="s">
        <v>40</v>
      </c>
      <c r="F27" s="3" t="s">
        <v>83</v>
      </c>
      <c r="G27" s="3" t="s">
        <v>84</v>
      </c>
      <c r="H27" s="3" t="s">
        <v>85</v>
      </c>
      <c r="I27" s="3"/>
      <c r="J27" s="3" t="s">
        <v>86</v>
      </c>
      <c r="K27" s="3" t="s">
        <v>87</v>
      </c>
      <c r="L27" s="3" t="s">
        <v>46</v>
      </c>
      <c r="M27" s="3" t="str">
        <f>'[1]1-1_ID_Execution_Schedule'!E26</f>
        <v>Not Started</v>
      </c>
      <c r="N27" s="3"/>
      <c r="O27" s="3"/>
      <c r="P27" s="3"/>
      <c r="Q27" s="3"/>
      <c r="R27" s="3"/>
    </row>
    <row r="28" spans="1:18" ht="24" customHeight="1">
      <c r="A28" s="3" t="s">
        <v>88</v>
      </c>
      <c r="B28" s="5" t="s">
        <v>38</v>
      </c>
      <c r="C28" s="3" t="s">
        <v>6</v>
      </c>
      <c r="D28" s="6" t="s">
        <v>89</v>
      </c>
      <c r="E28" s="3" t="s">
        <v>90</v>
      </c>
      <c r="F28" s="3" t="s">
        <v>91</v>
      </c>
      <c r="G28" s="3" t="s">
        <v>92</v>
      </c>
      <c r="H28" s="3" t="s">
        <v>93</v>
      </c>
      <c r="I28" s="3"/>
      <c r="J28" s="3" t="s">
        <v>44</v>
      </c>
      <c r="K28" s="3" t="s">
        <v>45</v>
      </c>
      <c r="L28" s="3" t="s">
        <v>46</v>
      </c>
      <c r="M28" s="3" t="str">
        <f>'[1]1-1_ID_Execution_Schedule'!E27</f>
        <v>Not Started</v>
      </c>
      <c r="N28" s="3"/>
      <c r="O28" s="3"/>
      <c r="P28" s="3"/>
      <c r="Q28" s="3"/>
      <c r="R28" s="3"/>
    </row>
    <row r="29" spans="1:18" ht="24" customHeight="1">
      <c r="A29" s="3" t="s">
        <v>94</v>
      </c>
      <c r="B29" s="5" t="s">
        <v>38</v>
      </c>
      <c r="C29" s="3" t="s">
        <v>6</v>
      </c>
      <c r="D29" s="6" t="s">
        <v>89</v>
      </c>
      <c r="E29" s="3" t="s">
        <v>90</v>
      </c>
      <c r="F29" s="3" t="s">
        <v>91</v>
      </c>
      <c r="G29" s="3" t="s">
        <v>95</v>
      </c>
      <c r="H29" s="3" t="s">
        <v>96</v>
      </c>
      <c r="I29" s="3"/>
      <c r="J29" s="3" t="s">
        <v>44</v>
      </c>
      <c r="K29" s="3" t="s">
        <v>45</v>
      </c>
      <c r="L29" s="3" t="s">
        <v>46</v>
      </c>
      <c r="M29" s="3" t="str">
        <f>'[1]1-1_ID_Execution_Schedule'!E28</f>
        <v>Not Started</v>
      </c>
      <c r="N29" s="3"/>
      <c r="O29" s="3"/>
      <c r="P29" s="3"/>
      <c r="Q29" s="3"/>
      <c r="R29" s="3"/>
    </row>
    <row r="30" spans="1:18" ht="24" customHeight="1">
      <c r="A30" s="3" t="s">
        <v>97</v>
      </c>
      <c r="B30" s="5" t="s">
        <v>38</v>
      </c>
      <c r="C30" s="3" t="s">
        <v>6</v>
      </c>
      <c r="D30" s="6" t="s">
        <v>89</v>
      </c>
      <c r="E30" s="3" t="s">
        <v>90</v>
      </c>
      <c r="F30" s="3" t="s">
        <v>98</v>
      </c>
      <c r="G30" s="3" t="s">
        <v>99</v>
      </c>
      <c r="H30" s="3" t="s">
        <v>100</v>
      </c>
      <c r="I30" s="3"/>
      <c r="J30" s="3" t="s">
        <v>44</v>
      </c>
      <c r="K30" s="3" t="s">
        <v>45</v>
      </c>
      <c r="L30" s="3" t="s">
        <v>46</v>
      </c>
      <c r="M30" s="3" t="str">
        <f>'[1]1-1_ID_Execution_Schedule'!E29</f>
        <v>Not Started</v>
      </c>
      <c r="N30" s="3"/>
      <c r="O30" s="3"/>
      <c r="P30" s="3"/>
      <c r="Q30" s="3"/>
      <c r="R30" s="3"/>
    </row>
    <row r="31" spans="1:18" ht="24" customHeight="1">
      <c r="A31" s="3" t="s">
        <v>101</v>
      </c>
      <c r="B31" s="5" t="s">
        <v>38</v>
      </c>
      <c r="C31" s="3" t="s">
        <v>6</v>
      </c>
      <c r="D31" s="6" t="s">
        <v>89</v>
      </c>
      <c r="E31" s="3" t="s">
        <v>90</v>
      </c>
      <c r="F31" s="3" t="s">
        <v>102</v>
      </c>
      <c r="G31" s="3" t="s">
        <v>103</v>
      </c>
      <c r="H31" s="3" t="s">
        <v>104</v>
      </c>
      <c r="I31" s="3"/>
      <c r="J31" s="3" t="s">
        <v>69</v>
      </c>
      <c r="K31" s="3" t="s">
        <v>70</v>
      </c>
      <c r="L31" s="3" t="s">
        <v>46</v>
      </c>
      <c r="M31" s="3" t="str">
        <f>'[1]1-1_ID_Execution_Schedule'!E30</f>
        <v>Not Started</v>
      </c>
      <c r="N31" s="3"/>
      <c r="O31" s="3"/>
      <c r="P31" s="3"/>
      <c r="Q31" s="3"/>
      <c r="R31" s="3"/>
    </row>
    <row r="32" spans="1:18" ht="24" customHeight="1">
      <c r="A32" s="3" t="s">
        <v>105</v>
      </c>
      <c r="B32" s="5" t="s">
        <v>38</v>
      </c>
      <c r="C32" s="3" t="s">
        <v>6</v>
      </c>
      <c r="D32" s="6" t="s">
        <v>89</v>
      </c>
      <c r="E32" s="3" t="s">
        <v>90</v>
      </c>
      <c r="F32" s="3" t="s">
        <v>106</v>
      </c>
      <c r="G32" s="3" t="s">
        <v>107</v>
      </c>
      <c r="H32" s="3" t="s">
        <v>108</v>
      </c>
      <c r="I32" s="3"/>
      <c r="J32" s="3" t="s">
        <v>44</v>
      </c>
      <c r="K32" s="3" t="s">
        <v>45</v>
      </c>
      <c r="L32" s="3" t="s">
        <v>46</v>
      </c>
      <c r="M32" s="3" t="str">
        <f>'[1]1-1_ID_Execution_Schedule'!E31</f>
        <v>Not Started</v>
      </c>
      <c r="N32" s="3"/>
      <c r="O32" s="3"/>
      <c r="P32" s="3"/>
      <c r="Q32" s="3"/>
      <c r="R32" s="3"/>
    </row>
    <row r="33" spans="1:18" ht="24" customHeight="1">
      <c r="A33" s="3" t="s">
        <v>109</v>
      </c>
      <c r="B33" s="5" t="s">
        <v>38</v>
      </c>
      <c r="C33" s="3" t="s">
        <v>7</v>
      </c>
      <c r="D33" s="6" t="s">
        <v>89</v>
      </c>
      <c r="E33" s="3" t="s">
        <v>110</v>
      </c>
      <c r="F33" s="3" t="s">
        <v>111</v>
      </c>
      <c r="G33" s="3" t="s">
        <v>112</v>
      </c>
      <c r="H33" s="3" t="s">
        <v>113</v>
      </c>
      <c r="I33" s="3"/>
      <c r="J33" s="3" t="s">
        <v>69</v>
      </c>
      <c r="K33" s="3" t="s">
        <v>70</v>
      </c>
      <c r="L33" s="3" t="s">
        <v>46</v>
      </c>
      <c r="M33" s="3" t="str">
        <f>'[1]1-1_ID_Execution_Schedule'!E32</f>
        <v>Not Started</v>
      </c>
      <c r="N33" s="3"/>
      <c r="O33" s="3"/>
      <c r="P33" s="3"/>
      <c r="Q33" s="3"/>
      <c r="R33" s="3"/>
    </row>
    <row r="34" spans="1:18" ht="24" customHeight="1">
      <c r="A34" s="3" t="s">
        <v>114</v>
      </c>
      <c r="B34" s="5" t="s">
        <v>38</v>
      </c>
      <c r="C34" s="3" t="s">
        <v>7</v>
      </c>
      <c r="D34" s="6" t="s">
        <v>89</v>
      </c>
      <c r="E34" s="3" t="s">
        <v>110</v>
      </c>
      <c r="F34" s="3" t="s">
        <v>115</v>
      </c>
      <c r="G34" s="3" t="s">
        <v>116</v>
      </c>
      <c r="H34" s="3" t="s">
        <v>117</v>
      </c>
      <c r="I34" s="3"/>
      <c r="J34" s="3" t="s">
        <v>69</v>
      </c>
      <c r="K34" s="3" t="s">
        <v>70</v>
      </c>
      <c r="L34" s="3" t="s">
        <v>46</v>
      </c>
      <c r="M34" s="3" t="str">
        <f>'[1]1-1_ID_Execution_Schedule'!E33</f>
        <v>Not Started</v>
      </c>
      <c r="N34" s="3"/>
      <c r="O34" s="3"/>
      <c r="P34" s="3"/>
      <c r="Q34" s="3"/>
      <c r="R34" s="3"/>
    </row>
    <row r="35" spans="1:18" ht="24" customHeight="1">
      <c r="A35" s="3" t="s">
        <v>118</v>
      </c>
      <c r="B35" s="5" t="s">
        <v>73</v>
      </c>
      <c r="C35" s="3" t="s">
        <v>7</v>
      </c>
      <c r="D35" s="6" t="s">
        <v>89</v>
      </c>
      <c r="E35" s="3" t="s">
        <v>110</v>
      </c>
      <c r="F35" s="3" t="s">
        <v>119</v>
      </c>
      <c r="G35" s="3" t="s">
        <v>120</v>
      </c>
      <c r="H35" s="3" t="s">
        <v>121</v>
      </c>
      <c r="I35" s="3"/>
      <c r="J35" s="3" t="s">
        <v>69</v>
      </c>
      <c r="K35" s="3" t="s">
        <v>45</v>
      </c>
      <c r="L35" s="3" t="s">
        <v>71</v>
      </c>
      <c r="M35" s="3" t="str">
        <f>'[1]1-1_ID_Execution_Schedule'!E34</f>
        <v>Not Started</v>
      </c>
      <c r="N35" s="3"/>
      <c r="O35" s="3"/>
      <c r="P35" s="3"/>
      <c r="Q35" s="3"/>
      <c r="R35" s="3"/>
    </row>
    <row r="36" spans="1:18" ht="24" customHeight="1">
      <c r="A36" s="3" t="s">
        <v>122</v>
      </c>
      <c r="B36" s="5" t="s">
        <v>123</v>
      </c>
      <c r="C36" s="3" t="s">
        <v>7</v>
      </c>
      <c r="D36" s="6" t="s">
        <v>89</v>
      </c>
      <c r="E36" s="3" t="s">
        <v>110</v>
      </c>
      <c r="F36" s="3" t="s">
        <v>124</v>
      </c>
      <c r="G36" s="3" t="s">
        <v>125</v>
      </c>
      <c r="H36" s="3" t="s">
        <v>126</v>
      </c>
      <c r="I36" s="3"/>
      <c r="J36" s="3" t="s">
        <v>77</v>
      </c>
      <c r="K36" s="3" t="s">
        <v>70</v>
      </c>
      <c r="L36" s="3" t="s">
        <v>71</v>
      </c>
      <c r="M36" s="3" t="str">
        <f>'[1]1-1_ID_Execution_Schedule'!E35</f>
        <v>Not Started</v>
      </c>
      <c r="N36" s="3"/>
      <c r="O36" s="3"/>
      <c r="P36" s="3"/>
      <c r="Q36" s="3"/>
      <c r="R36" s="3"/>
    </row>
    <row r="37" spans="1:18" ht="24" customHeight="1">
      <c r="A37" s="3" t="s">
        <v>127</v>
      </c>
      <c r="B37" s="5" t="s">
        <v>73</v>
      </c>
      <c r="C37" s="3" t="s">
        <v>8</v>
      </c>
      <c r="D37" s="6" t="s">
        <v>128</v>
      </c>
      <c r="E37" s="3" t="s">
        <v>129</v>
      </c>
      <c r="F37" s="3" t="s">
        <v>130</v>
      </c>
      <c r="G37" s="3" t="s">
        <v>131</v>
      </c>
      <c r="H37" s="3" t="s">
        <v>132</v>
      </c>
      <c r="I37" s="3"/>
      <c r="J37" s="3" t="s">
        <v>44</v>
      </c>
      <c r="K37" s="3" t="s">
        <v>45</v>
      </c>
      <c r="L37" s="3" t="s">
        <v>71</v>
      </c>
      <c r="M37" s="3" t="str">
        <f>'[1]1-1_ID_Execution_Schedule'!E36</f>
        <v>Not Started</v>
      </c>
      <c r="N37" s="3"/>
      <c r="O37" s="3"/>
      <c r="P37" s="3"/>
      <c r="Q37" s="3"/>
      <c r="R37" s="3"/>
    </row>
    <row r="38" spans="1:18" ht="24" customHeight="1">
      <c r="A38" s="3" t="s">
        <v>133</v>
      </c>
      <c r="B38" s="5" t="s">
        <v>73</v>
      </c>
      <c r="C38" s="3" t="s">
        <v>8</v>
      </c>
      <c r="D38" s="6" t="s">
        <v>128</v>
      </c>
      <c r="E38" s="3" t="s">
        <v>129</v>
      </c>
      <c r="F38" s="3" t="s">
        <v>134</v>
      </c>
      <c r="G38" s="3" t="s">
        <v>135</v>
      </c>
      <c r="H38" s="3" t="s">
        <v>136</v>
      </c>
      <c r="I38" s="3"/>
      <c r="J38" s="3" t="s">
        <v>44</v>
      </c>
      <c r="K38" s="3" t="s">
        <v>45</v>
      </c>
      <c r="L38" s="3" t="s">
        <v>46</v>
      </c>
      <c r="M38" s="3" t="str">
        <f>'[1]1-1_ID_Execution_Schedule'!E37</f>
        <v>Not Started</v>
      </c>
      <c r="N38" s="3"/>
      <c r="O38" s="3"/>
      <c r="P38" s="3"/>
      <c r="Q38" s="3"/>
      <c r="R38" s="3"/>
    </row>
    <row r="39" spans="1:18" ht="24" customHeight="1">
      <c r="A39" s="3" t="s">
        <v>137</v>
      </c>
      <c r="B39" s="5" t="s">
        <v>73</v>
      </c>
      <c r="C39" s="3" t="s">
        <v>8</v>
      </c>
      <c r="D39" s="6" t="s">
        <v>128</v>
      </c>
      <c r="E39" s="3" t="s">
        <v>129</v>
      </c>
      <c r="F39" s="3" t="s">
        <v>138</v>
      </c>
      <c r="G39" s="3" t="s">
        <v>139</v>
      </c>
      <c r="H39" s="3" t="s">
        <v>140</v>
      </c>
      <c r="I39" s="3"/>
      <c r="J39" s="3" t="s">
        <v>44</v>
      </c>
      <c r="K39" s="3" t="s">
        <v>45</v>
      </c>
      <c r="L39" s="3" t="s">
        <v>71</v>
      </c>
      <c r="M39" s="3" t="str">
        <f>'[1]1-1_ID_Execution_Schedule'!E38</f>
        <v>Not Started</v>
      </c>
      <c r="N39" s="3"/>
      <c r="O39" s="3"/>
      <c r="P39" s="3"/>
      <c r="Q39" s="3"/>
      <c r="R39" s="3"/>
    </row>
    <row r="40" spans="1:18" ht="24" customHeight="1">
      <c r="A40" s="3" t="s">
        <v>141</v>
      </c>
      <c r="B40" s="5" t="s">
        <v>73</v>
      </c>
      <c r="C40" s="3" t="s">
        <v>8</v>
      </c>
      <c r="D40" s="6" t="s">
        <v>128</v>
      </c>
      <c r="E40" s="3" t="s">
        <v>129</v>
      </c>
      <c r="F40" s="3" t="s">
        <v>138</v>
      </c>
      <c r="G40" s="3" t="s">
        <v>142</v>
      </c>
      <c r="H40" s="3" t="s">
        <v>143</v>
      </c>
      <c r="I40" s="3"/>
      <c r="J40" s="3" t="s">
        <v>77</v>
      </c>
      <c r="K40" s="3" t="s">
        <v>70</v>
      </c>
      <c r="L40" s="3" t="s">
        <v>71</v>
      </c>
      <c r="M40" s="3" t="str">
        <f>'[1]1-1_ID_Execution_Schedule'!E39</f>
        <v>Not Started</v>
      </c>
      <c r="N40" s="3"/>
      <c r="O40" s="3"/>
      <c r="P40" s="3"/>
      <c r="Q40" s="3"/>
      <c r="R40" s="3"/>
    </row>
    <row r="41" spans="1:18" ht="24" customHeight="1">
      <c r="A41" s="3" t="s">
        <v>144</v>
      </c>
      <c r="B41" s="5" t="s">
        <v>73</v>
      </c>
      <c r="C41" s="3" t="s">
        <v>8</v>
      </c>
      <c r="D41" s="6" t="s">
        <v>128</v>
      </c>
      <c r="E41" s="3" t="s">
        <v>129</v>
      </c>
      <c r="F41" s="3" t="s">
        <v>145</v>
      </c>
      <c r="G41" s="3" t="s">
        <v>146</v>
      </c>
      <c r="H41" s="3" t="s">
        <v>147</v>
      </c>
      <c r="I41" s="3"/>
      <c r="J41" s="3" t="s">
        <v>44</v>
      </c>
      <c r="K41" s="3" t="s">
        <v>45</v>
      </c>
      <c r="L41" s="3" t="s">
        <v>46</v>
      </c>
      <c r="M41" s="3" t="str">
        <f>'[1]1-1_ID_Execution_Schedule'!E40</f>
        <v>Not Started</v>
      </c>
      <c r="N41" s="3"/>
      <c r="O41" s="3"/>
      <c r="P41" s="3"/>
      <c r="Q41" s="3"/>
      <c r="R41" s="3"/>
    </row>
    <row r="42" spans="1:18" ht="24" customHeight="1">
      <c r="A42" s="3" t="s">
        <v>148</v>
      </c>
      <c r="B42" s="5" t="s">
        <v>73</v>
      </c>
      <c r="C42" s="3" t="s">
        <v>8</v>
      </c>
      <c r="D42" s="6" t="s">
        <v>128</v>
      </c>
      <c r="E42" s="3" t="s">
        <v>129</v>
      </c>
      <c r="F42" s="3" t="s">
        <v>149</v>
      </c>
      <c r="G42" s="3" t="s">
        <v>150</v>
      </c>
      <c r="H42" s="3" t="s">
        <v>151</v>
      </c>
      <c r="I42" s="3"/>
      <c r="J42" s="3" t="s">
        <v>69</v>
      </c>
      <c r="K42" s="3" t="s">
        <v>45</v>
      </c>
      <c r="L42" s="3" t="s">
        <v>71</v>
      </c>
      <c r="M42" s="3" t="str">
        <f>'[1]1-1_ID_Execution_Schedule'!E41</f>
        <v>Not Started</v>
      </c>
      <c r="N42" s="3"/>
      <c r="O42" s="3"/>
      <c r="P42" s="3"/>
      <c r="Q42" s="3"/>
      <c r="R42" s="3"/>
    </row>
    <row r="43" spans="1:18" ht="24" customHeight="1">
      <c r="A43" s="3" t="s">
        <v>152</v>
      </c>
      <c r="B43" s="5" t="s">
        <v>123</v>
      </c>
      <c r="C43" s="3" t="s">
        <v>8</v>
      </c>
      <c r="D43" s="6" t="s">
        <v>128</v>
      </c>
      <c r="E43" s="3" t="s">
        <v>129</v>
      </c>
      <c r="F43" s="3" t="s">
        <v>153</v>
      </c>
      <c r="G43" s="3" t="s">
        <v>154</v>
      </c>
      <c r="H43" s="3" t="s">
        <v>155</v>
      </c>
      <c r="I43" s="3"/>
      <c r="J43" s="3" t="s">
        <v>77</v>
      </c>
      <c r="K43" s="3" t="s">
        <v>45</v>
      </c>
      <c r="L43" s="3" t="s">
        <v>71</v>
      </c>
      <c r="M43" s="3" t="str">
        <f>'[1]1-1_ID_Execution_Schedule'!E42</f>
        <v>Not Started</v>
      </c>
      <c r="N43" s="3"/>
      <c r="O43" s="3"/>
      <c r="P43" s="3"/>
      <c r="Q43" s="3"/>
      <c r="R43" s="3"/>
    </row>
    <row r="44" spans="1:18" ht="24" customHeight="1">
      <c r="A44" s="3" t="s">
        <v>156</v>
      </c>
      <c r="B44" s="5" t="s">
        <v>73</v>
      </c>
      <c r="C44" s="3" t="s">
        <v>9</v>
      </c>
      <c r="D44" s="6" t="s">
        <v>39</v>
      </c>
      <c r="E44" s="3" t="s">
        <v>40</v>
      </c>
      <c r="F44" s="3" t="s">
        <v>157</v>
      </c>
      <c r="G44" s="3" t="s">
        <v>158</v>
      </c>
      <c r="H44" s="3" t="s">
        <v>159</v>
      </c>
      <c r="I44" s="3"/>
      <c r="J44" s="3" t="s">
        <v>44</v>
      </c>
      <c r="K44" s="3" t="s">
        <v>45</v>
      </c>
      <c r="L44" s="3" t="s">
        <v>160</v>
      </c>
      <c r="M44" s="3" t="str">
        <f>'[1]1-1_ID_Execution_Schedule'!E43</f>
        <v>Not Started</v>
      </c>
      <c r="N44" s="3"/>
      <c r="O44" s="3"/>
      <c r="P44" s="3"/>
      <c r="Q44" s="3"/>
      <c r="R44" s="3"/>
    </row>
    <row r="45" spans="1:18" ht="24" customHeight="1">
      <c r="A45" s="3" t="s">
        <v>161</v>
      </c>
      <c r="B45" s="5" t="s">
        <v>73</v>
      </c>
      <c r="C45" s="3" t="s">
        <v>9</v>
      </c>
      <c r="D45" s="6" t="s">
        <v>39</v>
      </c>
      <c r="E45" s="3" t="s">
        <v>40</v>
      </c>
      <c r="F45" s="3" t="s">
        <v>162</v>
      </c>
      <c r="G45" s="3" t="s">
        <v>163</v>
      </c>
      <c r="H45" s="3" t="s">
        <v>164</v>
      </c>
      <c r="I45" s="3"/>
      <c r="J45" s="3" t="s">
        <v>69</v>
      </c>
      <c r="K45" s="3" t="s">
        <v>70</v>
      </c>
      <c r="L45" s="3" t="s">
        <v>71</v>
      </c>
      <c r="M45" s="3" t="str">
        <f>'[1]1-1_ID_Execution_Schedule'!E44</f>
        <v>Not Started</v>
      </c>
      <c r="N45" s="3"/>
      <c r="O45" s="3"/>
      <c r="P45" s="3"/>
      <c r="Q45" s="3"/>
      <c r="R45" s="3"/>
    </row>
    <row r="46" spans="1:18" ht="24" customHeight="1">
      <c r="A46" s="3" t="s">
        <v>165</v>
      </c>
      <c r="B46" s="5" t="s">
        <v>73</v>
      </c>
      <c r="C46" s="3" t="s">
        <v>9</v>
      </c>
      <c r="D46" s="6" t="s">
        <v>39</v>
      </c>
      <c r="E46" s="3" t="s">
        <v>40</v>
      </c>
      <c r="F46" s="3" t="s">
        <v>166</v>
      </c>
      <c r="G46" s="3" t="s">
        <v>167</v>
      </c>
      <c r="H46" s="3" t="s">
        <v>168</v>
      </c>
      <c r="I46" s="3"/>
      <c r="J46" s="3" t="s">
        <v>44</v>
      </c>
      <c r="K46" s="3" t="s">
        <v>45</v>
      </c>
      <c r="L46" s="3" t="s">
        <v>71</v>
      </c>
      <c r="M46" s="3" t="str">
        <f>'[1]1-1_ID_Execution_Schedule'!E45</f>
        <v>Not Started</v>
      </c>
      <c r="N46" s="3"/>
      <c r="O46" s="3"/>
      <c r="P46" s="3"/>
      <c r="Q46" s="3"/>
      <c r="R46" s="3"/>
    </row>
    <row r="47" spans="1:18" ht="24" customHeight="1">
      <c r="A47" s="3" t="s">
        <v>169</v>
      </c>
      <c r="B47" s="5" t="s">
        <v>73</v>
      </c>
      <c r="C47" s="3" t="s">
        <v>9</v>
      </c>
      <c r="D47" s="6" t="s">
        <v>39</v>
      </c>
      <c r="E47" s="3" t="s">
        <v>40</v>
      </c>
      <c r="F47" s="3" t="s">
        <v>166</v>
      </c>
      <c r="G47" s="3" t="s">
        <v>170</v>
      </c>
      <c r="H47" s="3" t="s">
        <v>171</v>
      </c>
      <c r="I47" s="3"/>
      <c r="J47" s="3" t="s">
        <v>69</v>
      </c>
      <c r="K47" s="3" t="s">
        <v>45</v>
      </c>
      <c r="L47" s="3" t="s">
        <v>160</v>
      </c>
      <c r="M47" s="3" t="str">
        <f>'[1]1-1_ID_Execution_Schedule'!E46</f>
        <v>Not Started</v>
      </c>
      <c r="N47" s="3"/>
      <c r="O47" s="3"/>
      <c r="P47" s="3"/>
      <c r="Q47" s="3"/>
      <c r="R47" s="3"/>
    </row>
    <row r="48" spans="1:18" ht="24" customHeight="1">
      <c r="A48" s="3" t="s">
        <v>172</v>
      </c>
      <c r="B48" s="5" t="s">
        <v>73</v>
      </c>
      <c r="C48" s="3" t="s">
        <v>9</v>
      </c>
      <c r="D48" s="6" t="s">
        <v>39</v>
      </c>
      <c r="E48" s="3" t="s">
        <v>40</v>
      </c>
      <c r="F48" s="3" t="s">
        <v>173</v>
      </c>
      <c r="G48" s="3" t="s">
        <v>174</v>
      </c>
      <c r="H48" s="3" t="s">
        <v>175</v>
      </c>
      <c r="I48" s="3"/>
      <c r="J48" s="3" t="s">
        <v>44</v>
      </c>
      <c r="K48" s="3" t="s">
        <v>45</v>
      </c>
      <c r="L48" s="3" t="s">
        <v>71</v>
      </c>
      <c r="M48" s="3" t="str">
        <f>'[1]1-1_ID_Execution_Schedule'!E47</f>
        <v>Done</v>
      </c>
      <c r="N48" s="3"/>
      <c r="O48" s="3"/>
      <c r="P48" s="3"/>
      <c r="Q48" s="3"/>
      <c r="R48" s="3"/>
    </row>
    <row r="49" spans="1:18" ht="24" customHeight="1">
      <c r="A49" s="3" t="s">
        <v>176</v>
      </c>
      <c r="B49" s="5" t="s">
        <v>73</v>
      </c>
      <c r="C49" s="3" t="s">
        <v>9</v>
      </c>
      <c r="D49" s="6" t="s">
        <v>39</v>
      </c>
      <c r="E49" s="3" t="s">
        <v>40</v>
      </c>
      <c r="F49" s="3" t="s">
        <v>177</v>
      </c>
      <c r="G49" s="3" t="s">
        <v>178</v>
      </c>
      <c r="H49" s="3" t="s">
        <v>179</v>
      </c>
      <c r="I49" s="3"/>
      <c r="J49" s="3" t="s">
        <v>69</v>
      </c>
      <c r="K49" s="3" t="s">
        <v>45</v>
      </c>
      <c r="L49" s="3" t="s">
        <v>71</v>
      </c>
      <c r="M49" s="3" t="str">
        <f>'[1]1-1_ID_Execution_Schedule'!E48</f>
        <v>Done</v>
      </c>
      <c r="N49" s="3"/>
      <c r="O49" s="3"/>
      <c r="P49" s="3"/>
      <c r="Q49" s="3"/>
      <c r="R49" s="3"/>
    </row>
    <row r="50" spans="1:18" ht="24" customHeight="1">
      <c r="A50" s="3" t="s">
        <v>180</v>
      </c>
      <c r="B50" s="5" t="s">
        <v>123</v>
      </c>
      <c r="C50" s="3" t="s">
        <v>9</v>
      </c>
      <c r="D50" s="6" t="s">
        <v>39</v>
      </c>
      <c r="E50" s="3" t="s">
        <v>40</v>
      </c>
      <c r="F50" s="3" t="s">
        <v>181</v>
      </c>
      <c r="G50" s="3" t="s">
        <v>182</v>
      </c>
      <c r="H50" s="3" t="s">
        <v>183</v>
      </c>
      <c r="I50" s="3"/>
      <c r="J50" s="3" t="s">
        <v>77</v>
      </c>
      <c r="K50" s="3" t="s">
        <v>70</v>
      </c>
      <c r="L50" s="3" t="s">
        <v>71</v>
      </c>
      <c r="M50" s="3" t="str">
        <f>'[1]1-1_ID_Execution_Schedule'!E49</f>
        <v>Done</v>
      </c>
      <c r="N50" s="3"/>
      <c r="O50" s="3"/>
      <c r="P50" s="3"/>
      <c r="Q50" s="3"/>
      <c r="R50" s="3"/>
    </row>
    <row r="51" spans="1:18" ht="24" customHeight="1">
      <c r="A51" s="3" t="s">
        <v>184</v>
      </c>
      <c r="B51" s="5" t="s">
        <v>38</v>
      </c>
      <c r="C51" s="3" t="s">
        <v>10</v>
      </c>
      <c r="D51" s="6" t="s">
        <v>39</v>
      </c>
      <c r="E51" s="3" t="s">
        <v>40</v>
      </c>
      <c r="F51" s="3" t="s">
        <v>185</v>
      </c>
      <c r="G51" s="3" t="s">
        <v>186</v>
      </c>
      <c r="H51" s="3" t="s">
        <v>187</v>
      </c>
      <c r="I51" s="3"/>
      <c r="J51" s="3" t="s">
        <v>44</v>
      </c>
      <c r="K51" s="3" t="s">
        <v>45</v>
      </c>
      <c r="L51" s="3" t="s">
        <v>71</v>
      </c>
      <c r="M51" s="3" t="str">
        <f>'[1]1-1_ID_Execution_Schedule'!E50</f>
        <v>In Progress</v>
      </c>
      <c r="N51" s="3"/>
      <c r="O51" s="3"/>
      <c r="P51" s="3"/>
      <c r="Q51" s="3"/>
      <c r="R51" s="3"/>
    </row>
    <row r="52" spans="1:18" ht="24" customHeight="1">
      <c r="A52" s="3" t="s">
        <v>188</v>
      </c>
      <c r="B52" s="5" t="s">
        <v>73</v>
      </c>
      <c r="C52" s="3" t="s">
        <v>10</v>
      </c>
      <c r="D52" s="6" t="s">
        <v>39</v>
      </c>
      <c r="E52" s="3" t="s">
        <v>40</v>
      </c>
      <c r="F52" s="3" t="s">
        <v>189</v>
      </c>
      <c r="G52" s="3" t="s">
        <v>190</v>
      </c>
      <c r="H52" s="3" t="s">
        <v>191</v>
      </c>
      <c r="I52" s="3"/>
      <c r="J52" s="3" t="s">
        <v>44</v>
      </c>
      <c r="K52" s="3" t="s">
        <v>45</v>
      </c>
      <c r="L52" s="3" t="s">
        <v>71</v>
      </c>
      <c r="M52" s="3" t="str">
        <f>'[1]1-1_ID_Execution_Schedule'!E51</f>
        <v>In Progress</v>
      </c>
      <c r="N52" s="3"/>
      <c r="O52" s="3"/>
      <c r="P52" s="3"/>
      <c r="Q52" s="3"/>
      <c r="R52" s="3"/>
    </row>
    <row r="53" spans="1:18" ht="24" customHeight="1">
      <c r="A53" s="3" t="s">
        <v>192</v>
      </c>
      <c r="B53" s="5" t="s">
        <v>73</v>
      </c>
      <c r="C53" s="3" t="s">
        <v>10</v>
      </c>
      <c r="D53" s="6" t="s">
        <v>39</v>
      </c>
      <c r="E53" s="3" t="s">
        <v>40</v>
      </c>
      <c r="F53" s="3" t="s">
        <v>189</v>
      </c>
      <c r="G53" s="3" t="s">
        <v>193</v>
      </c>
      <c r="H53" s="3" t="s">
        <v>194</v>
      </c>
      <c r="I53" s="3"/>
      <c r="J53" s="3" t="s">
        <v>69</v>
      </c>
      <c r="K53" s="3" t="s">
        <v>45</v>
      </c>
      <c r="L53" s="3" t="s">
        <v>71</v>
      </c>
      <c r="M53" s="3" t="str">
        <f>'[1]1-1_ID_Execution_Schedule'!E52</f>
        <v>In Progress</v>
      </c>
      <c r="N53" s="3"/>
      <c r="O53" s="3"/>
      <c r="P53" s="3"/>
      <c r="Q53" s="3"/>
      <c r="R53" s="3"/>
    </row>
    <row r="54" spans="1:18" ht="24" customHeight="1">
      <c r="A54" s="3" t="s">
        <v>195</v>
      </c>
      <c r="B54" s="5" t="s">
        <v>73</v>
      </c>
      <c r="C54" s="3" t="s">
        <v>10</v>
      </c>
      <c r="D54" s="6" t="s">
        <v>39</v>
      </c>
      <c r="E54" s="3" t="s">
        <v>40</v>
      </c>
      <c r="F54" s="3" t="s">
        <v>189</v>
      </c>
      <c r="G54" s="3" t="s">
        <v>196</v>
      </c>
      <c r="H54" s="3" t="s">
        <v>197</v>
      </c>
      <c r="I54" s="3"/>
      <c r="J54" s="3" t="s">
        <v>44</v>
      </c>
      <c r="K54" s="3" t="s">
        <v>45</v>
      </c>
      <c r="L54" s="3" t="s">
        <v>160</v>
      </c>
      <c r="M54" s="3" t="str">
        <f>'[1]1-1_ID_Execution_Schedule'!E53</f>
        <v>Not Started</v>
      </c>
      <c r="N54" s="3"/>
      <c r="O54" s="3"/>
      <c r="P54" s="3"/>
      <c r="Q54" s="3"/>
      <c r="R54" s="3"/>
    </row>
    <row r="55" spans="1:18" ht="24" customHeight="1">
      <c r="A55" s="3" t="s">
        <v>198</v>
      </c>
      <c r="B55" s="5" t="s">
        <v>73</v>
      </c>
      <c r="C55" s="3" t="s">
        <v>10</v>
      </c>
      <c r="D55" s="6" t="s">
        <v>39</v>
      </c>
      <c r="E55" s="3" t="s">
        <v>40</v>
      </c>
      <c r="F55" s="3" t="s">
        <v>199</v>
      </c>
      <c r="G55" s="3" t="s">
        <v>200</v>
      </c>
      <c r="H55" s="3" t="s">
        <v>201</v>
      </c>
      <c r="I55" s="3"/>
      <c r="J55" s="3" t="s">
        <v>44</v>
      </c>
      <c r="K55" s="3" t="s">
        <v>45</v>
      </c>
      <c r="L55" s="3" t="s">
        <v>160</v>
      </c>
      <c r="M55" s="3" t="str">
        <f>'[1]1-1_ID_Execution_Schedule'!E54</f>
        <v>Not Started</v>
      </c>
      <c r="N55" s="3"/>
      <c r="O55" s="3"/>
      <c r="P55" s="3"/>
      <c r="Q55" s="3"/>
      <c r="R55" s="3"/>
    </row>
    <row r="56" spans="1:18" ht="24" customHeight="1">
      <c r="A56" s="3" t="s">
        <v>202</v>
      </c>
      <c r="B56" s="5" t="s">
        <v>73</v>
      </c>
      <c r="C56" s="3" t="s">
        <v>10</v>
      </c>
      <c r="D56" s="6" t="s">
        <v>39</v>
      </c>
      <c r="E56" s="3" t="s">
        <v>40</v>
      </c>
      <c r="F56" s="3" t="s">
        <v>203</v>
      </c>
      <c r="G56" s="3" t="s">
        <v>204</v>
      </c>
      <c r="H56" s="3" t="s">
        <v>205</v>
      </c>
      <c r="I56" s="3"/>
      <c r="J56" s="3" t="s">
        <v>44</v>
      </c>
      <c r="K56" s="3" t="s">
        <v>45</v>
      </c>
      <c r="L56" s="3" t="s">
        <v>71</v>
      </c>
      <c r="M56" s="3" t="str">
        <f>'[1]1-1_ID_Execution_Schedule'!E55</f>
        <v>Not Started</v>
      </c>
      <c r="N56" s="3"/>
      <c r="O56" s="3"/>
      <c r="P56" s="3"/>
      <c r="Q56" s="3"/>
      <c r="R56" s="3"/>
    </row>
    <row r="57" spans="1:18" ht="24" customHeight="1">
      <c r="A57" s="3" t="s">
        <v>206</v>
      </c>
      <c r="B57" s="5" t="s">
        <v>73</v>
      </c>
      <c r="C57" s="3" t="s">
        <v>10</v>
      </c>
      <c r="D57" s="6" t="s">
        <v>39</v>
      </c>
      <c r="E57" s="3" t="s">
        <v>40</v>
      </c>
      <c r="F57" s="3" t="s">
        <v>207</v>
      </c>
      <c r="G57" s="3" t="s">
        <v>208</v>
      </c>
      <c r="H57" s="3" t="s">
        <v>209</v>
      </c>
      <c r="I57" s="3"/>
      <c r="J57" s="3" t="s">
        <v>44</v>
      </c>
      <c r="K57" s="3" t="s">
        <v>45</v>
      </c>
      <c r="L57" s="3" t="s">
        <v>71</v>
      </c>
      <c r="M57" s="3" t="str">
        <f>'[1]1-1_ID_Execution_Schedule'!E56</f>
        <v>Not Started</v>
      </c>
      <c r="N57" s="3"/>
      <c r="O57" s="3"/>
      <c r="P57" s="3"/>
      <c r="Q57" s="3"/>
      <c r="R57" s="3"/>
    </row>
    <row r="58" spans="1:18" ht="24" customHeight="1">
      <c r="A58" s="3" t="s">
        <v>210</v>
      </c>
      <c r="B58" s="5" t="s">
        <v>123</v>
      </c>
      <c r="C58" s="3" t="s">
        <v>10</v>
      </c>
      <c r="D58" s="6" t="s">
        <v>39</v>
      </c>
      <c r="E58" s="3" t="s">
        <v>40</v>
      </c>
      <c r="F58" s="3" t="s">
        <v>211</v>
      </c>
      <c r="G58" s="3" t="s">
        <v>212</v>
      </c>
      <c r="H58" s="3" t="s">
        <v>213</v>
      </c>
      <c r="I58" s="3"/>
      <c r="J58" s="3" t="s">
        <v>77</v>
      </c>
      <c r="K58" s="3" t="s">
        <v>70</v>
      </c>
      <c r="L58" s="3" t="s">
        <v>71</v>
      </c>
      <c r="M58" s="3" t="str">
        <f>'[1]1-1_ID_Execution_Schedule'!E57</f>
        <v>Not Started</v>
      </c>
      <c r="N58" s="3"/>
      <c r="O58" s="3"/>
      <c r="P58" s="3"/>
      <c r="Q58" s="3"/>
      <c r="R58" s="3"/>
    </row>
    <row r="59" spans="1:18" ht="24" customHeight="1">
      <c r="A59" s="3" t="s">
        <v>214</v>
      </c>
      <c r="B59" s="5" t="s">
        <v>38</v>
      </c>
      <c r="C59" s="3" t="s">
        <v>12</v>
      </c>
      <c r="D59" s="6" t="s">
        <v>128</v>
      </c>
      <c r="E59" s="3" t="s">
        <v>129</v>
      </c>
      <c r="F59" s="3" t="s">
        <v>215</v>
      </c>
      <c r="G59" s="3" t="s">
        <v>216</v>
      </c>
      <c r="H59" s="3" t="s">
        <v>217</v>
      </c>
      <c r="I59" s="3"/>
      <c r="J59" s="3" t="s">
        <v>44</v>
      </c>
      <c r="K59" s="3" t="s">
        <v>45</v>
      </c>
      <c r="L59" s="3" t="s">
        <v>71</v>
      </c>
      <c r="M59" s="3" t="str">
        <f>'[1]1-1_ID_Execution_Schedule'!E58</f>
        <v>Not Started</v>
      </c>
      <c r="N59" s="3"/>
      <c r="O59" s="3"/>
      <c r="P59" s="3"/>
      <c r="Q59" s="3"/>
      <c r="R59" s="3"/>
    </row>
    <row r="60" spans="1:18" ht="24" customHeight="1">
      <c r="A60" s="3" t="s">
        <v>218</v>
      </c>
      <c r="B60" s="5" t="s">
        <v>73</v>
      </c>
      <c r="C60" s="3" t="s">
        <v>12</v>
      </c>
      <c r="D60" s="6" t="s">
        <v>128</v>
      </c>
      <c r="E60" s="3" t="s">
        <v>129</v>
      </c>
      <c r="F60" s="3" t="s">
        <v>219</v>
      </c>
      <c r="G60" s="3" t="s">
        <v>220</v>
      </c>
      <c r="H60" s="3" t="s">
        <v>221</v>
      </c>
      <c r="I60" s="3"/>
      <c r="J60" s="3" t="s">
        <v>44</v>
      </c>
      <c r="K60" s="3" t="s">
        <v>45</v>
      </c>
      <c r="L60" s="3" t="s">
        <v>46</v>
      </c>
      <c r="M60" s="3" t="str">
        <f>'[1]1-1_ID_Execution_Schedule'!E59</f>
        <v>Not Started</v>
      </c>
      <c r="N60" s="3"/>
      <c r="O60" s="3"/>
      <c r="P60" s="3"/>
      <c r="Q60" s="3"/>
      <c r="R60" s="3"/>
    </row>
    <row r="61" spans="1:18" ht="24" customHeight="1">
      <c r="A61" s="3" t="s">
        <v>222</v>
      </c>
      <c r="B61" s="5" t="s">
        <v>73</v>
      </c>
      <c r="C61" s="3" t="s">
        <v>12</v>
      </c>
      <c r="D61" s="6" t="s">
        <v>128</v>
      </c>
      <c r="E61" s="3" t="s">
        <v>129</v>
      </c>
      <c r="F61" s="3" t="s">
        <v>223</v>
      </c>
      <c r="G61" s="3" t="s">
        <v>224</v>
      </c>
      <c r="H61" s="3" t="s">
        <v>225</v>
      </c>
      <c r="I61" s="3"/>
      <c r="J61" s="3" t="s">
        <v>44</v>
      </c>
      <c r="K61" s="3" t="s">
        <v>45</v>
      </c>
      <c r="L61" s="3" t="s">
        <v>46</v>
      </c>
      <c r="M61" s="3" t="str">
        <f>'[1]1-1_ID_Execution_Schedule'!E60</f>
        <v>Not Started</v>
      </c>
      <c r="N61" s="3"/>
      <c r="O61" s="3"/>
      <c r="P61" s="3"/>
      <c r="Q61" s="3"/>
      <c r="R61" s="3"/>
    </row>
    <row r="62" spans="1:18" ht="24" customHeight="1">
      <c r="A62" s="3" t="s">
        <v>226</v>
      </c>
      <c r="B62" s="5" t="s">
        <v>73</v>
      </c>
      <c r="C62" s="3" t="s">
        <v>12</v>
      </c>
      <c r="D62" s="6" t="s">
        <v>128</v>
      </c>
      <c r="E62" s="3" t="s">
        <v>129</v>
      </c>
      <c r="F62" s="3" t="s">
        <v>227</v>
      </c>
      <c r="G62" s="3" t="s">
        <v>228</v>
      </c>
      <c r="H62" s="3" t="s">
        <v>229</v>
      </c>
      <c r="I62" s="3"/>
      <c r="J62" s="3" t="s">
        <v>69</v>
      </c>
      <c r="K62" s="3" t="s">
        <v>70</v>
      </c>
      <c r="L62" s="3" t="s">
        <v>46</v>
      </c>
      <c r="M62" s="3" t="str">
        <f>'[1]1-1_ID_Execution_Schedule'!E61</f>
        <v>Not Started</v>
      </c>
      <c r="N62" s="3"/>
      <c r="O62" s="3"/>
      <c r="P62" s="3"/>
      <c r="Q62" s="3"/>
      <c r="R62" s="3"/>
    </row>
    <row r="63" spans="1:18" ht="24" customHeight="1">
      <c r="A63" s="3" t="s">
        <v>230</v>
      </c>
      <c r="B63" s="5" t="s">
        <v>73</v>
      </c>
      <c r="C63" s="3" t="s">
        <v>12</v>
      </c>
      <c r="D63" s="6" t="s">
        <v>128</v>
      </c>
      <c r="E63" s="3" t="s">
        <v>129</v>
      </c>
      <c r="F63" s="3" t="s">
        <v>231</v>
      </c>
      <c r="G63" s="3" t="s">
        <v>232</v>
      </c>
      <c r="H63" s="3" t="s">
        <v>233</v>
      </c>
      <c r="I63" s="3"/>
      <c r="J63" s="3" t="s">
        <v>69</v>
      </c>
      <c r="K63" s="3" t="s">
        <v>70</v>
      </c>
      <c r="L63" s="3" t="s">
        <v>71</v>
      </c>
      <c r="M63" s="3" t="str">
        <f>'[1]1-1_ID_Execution_Schedule'!E62</f>
        <v>Not Started</v>
      </c>
      <c r="N63" s="3"/>
      <c r="O63" s="3"/>
      <c r="P63" s="3"/>
      <c r="Q63" s="3"/>
      <c r="R63" s="3"/>
    </row>
    <row r="64" spans="1:18" ht="24" customHeight="1">
      <c r="A64" s="3" t="s">
        <v>234</v>
      </c>
      <c r="B64" s="5" t="s">
        <v>73</v>
      </c>
      <c r="C64" s="3" t="s">
        <v>13</v>
      </c>
      <c r="D64" s="6" t="s">
        <v>39</v>
      </c>
      <c r="E64" s="3" t="s">
        <v>235</v>
      </c>
      <c r="F64" s="3" t="s">
        <v>236</v>
      </c>
      <c r="G64" s="3" t="s">
        <v>237</v>
      </c>
      <c r="H64" s="3" t="s">
        <v>238</v>
      </c>
      <c r="I64" s="3"/>
      <c r="J64" s="3" t="s">
        <v>69</v>
      </c>
      <c r="K64" s="3" t="s">
        <v>70</v>
      </c>
      <c r="L64" s="3" t="s">
        <v>46</v>
      </c>
      <c r="M64" s="3" t="str">
        <f>'[1]1-1_ID_Execution_Schedule'!E63</f>
        <v>Not Started</v>
      </c>
      <c r="N64" s="3"/>
      <c r="O64" s="3"/>
      <c r="P64" s="3"/>
      <c r="Q64" s="3"/>
      <c r="R64" s="3"/>
    </row>
    <row r="65" spans="1:18" ht="24" customHeight="1">
      <c r="A65" s="3" t="s">
        <v>239</v>
      </c>
      <c r="B65" s="5" t="s">
        <v>73</v>
      </c>
      <c r="C65" s="3" t="s">
        <v>13</v>
      </c>
      <c r="D65" s="6" t="s">
        <v>39</v>
      </c>
      <c r="E65" s="3" t="s">
        <v>235</v>
      </c>
      <c r="F65" s="3" t="s">
        <v>240</v>
      </c>
      <c r="G65" s="3" t="s">
        <v>241</v>
      </c>
      <c r="H65" s="3" t="s">
        <v>242</v>
      </c>
      <c r="I65" s="3"/>
      <c r="J65" s="3" t="s">
        <v>69</v>
      </c>
      <c r="K65" s="3" t="s">
        <v>45</v>
      </c>
      <c r="L65" s="3" t="s">
        <v>46</v>
      </c>
      <c r="M65" s="3" t="str">
        <f>'[1]1-1_ID_Execution_Schedule'!E64</f>
        <v>Not Started</v>
      </c>
      <c r="N65" s="3"/>
      <c r="O65" s="3"/>
      <c r="P65" s="3"/>
      <c r="Q65" s="3"/>
      <c r="R65" s="3"/>
    </row>
    <row r="66" spans="1:18" ht="24" customHeight="1">
      <c r="A66" s="3" t="s">
        <v>243</v>
      </c>
      <c r="B66" s="5" t="s">
        <v>73</v>
      </c>
      <c r="C66" s="3" t="s">
        <v>13</v>
      </c>
      <c r="D66" s="6" t="s">
        <v>39</v>
      </c>
      <c r="E66" s="3" t="s">
        <v>235</v>
      </c>
      <c r="F66" s="3" t="s">
        <v>244</v>
      </c>
      <c r="G66" s="3" t="s">
        <v>245</v>
      </c>
      <c r="H66" s="3" t="s">
        <v>246</v>
      </c>
      <c r="I66" s="3"/>
      <c r="J66" s="3" t="s">
        <v>44</v>
      </c>
      <c r="K66" s="3" t="s">
        <v>45</v>
      </c>
      <c r="L66" s="3" t="s">
        <v>71</v>
      </c>
      <c r="M66" s="3" t="str">
        <f>'[1]1-1_ID_Execution_Schedule'!E65</f>
        <v>Not Started</v>
      </c>
      <c r="N66" s="3"/>
      <c r="O66" s="3"/>
      <c r="P66" s="3"/>
      <c r="Q66" s="3"/>
      <c r="R66" s="3"/>
    </row>
    <row r="67" spans="1:18" ht="24" customHeight="1">
      <c r="A67" s="3" t="s">
        <v>247</v>
      </c>
      <c r="B67" s="5" t="s">
        <v>123</v>
      </c>
      <c r="C67" s="3" t="s">
        <v>13</v>
      </c>
      <c r="D67" s="6" t="s">
        <v>39</v>
      </c>
      <c r="E67" s="3" t="s">
        <v>235</v>
      </c>
      <c r="F67" s="3" t="s">
        <v>248</v>
      </c>
      <c r="G67" s="3" t="s">
        <v>249</v>
      </c>
      <c r="H67" s="3" t="s">
        <v>250</v>
      </c>
      <c r="I67" s="3"/>
      <c r="J67" s="3" t="s">
        <v>77</v>
      </c>
      <c r="K67" s="3" t="s">
        <v>70</v>
      </c>
      <c r="L67" s="3" t="s">
        <v>71</v>
      </c>
      <c r="M67" s="3" t="str">
        <f>'[1]1-1_ID_Execution_Schedule'!E66</f>
        <v>Not Started</v>
      </c>
      <c r="N67" s="3"/>
      <c r="O67" s="3"/>
      <c r="P67" s="3"/>
      <c r="Q67" s="3"/>
      <c r="R67" s="3"/>
    </row>
    <row r="68" spans="1:18" ht="24" customHeight="1">
      <c r="A68" s="3" t="s">
        <v>251</v>
      </c>
      <c r="B68" s="5" t="s">
        <v>123</v>
      </c>
      <c r="C68" s="3" t="s">
        <v>13</v>
      </c>
      <c r="D68" s="6" t="s">
        <v>39</v>
      </c>
      <c r="E68" s="3" t="s">
        <v>235</v>
      </c>
      <c r="F68" s="3" t="s">
        <v>252</v>
      </c>
      <c r="G68" s="3" t="s">
        <v>253</v>
      </c>
      <c r="H68" s="3" t="s">
        <v>252</v>
      </c>
      <c r="I68" s="3"/>
      <c r="J68" s="3" t="s">
        <v>77</v>
      </c>
      <c r="K68" s="3" t="s">
        <v>70</v>
      </c>
      <c r="L68" s="3" t="s">
        <v>46</v>
      </c>
      <c r="M68" s="3" t="str">
        <f>'[1]1-1_ID_Execution_Schedule'!E67</f>
        <v>Not Started</v>
      </c>
      <c r="N68" s="3"/>
      <c r="O68" s="3"/>
      <c r="P68" s="3"/>
      <c r="Q68" s="3"/>
      <c r="R68" s="3"/>
    </row>
    <row r="69" spans="1:18" ht="24" customHeight="1">
      <c r="A69" s="3" t="s">
        <v>254</v>
      </c>
      <c r="B69" s="5" t="s">
        <v>73</v>
      </c>
      <c r="C69" s="3" t="s">
        <v>14</v>
      </c>
      <c r="D69" s="6" t="s">
        <v>39</v>
      </c>
      <c r="E69" s="3" t="s">
        <v>235</v>
      </c>
      <c r="F69" s="3" t="s">
        <v>255</v>
      </c>
      <c r="G69" s="3" t="s">
        <v>256</v>
      </c>
      <c r="H69" s="3" t="s">
        <v>257</v>
      </c>
      <c r="I69" s="3"/>
      <c r="J69" s="3" t="s">
        <v>69</v>
      </c>
      <c r="K69" s="3" t="s">
        <v>70</v>
      </c>
      <c r="L69" s="3" t="s">
        <v>46</v>
      </c>
      <c r="M69" s="3" t="str">
        <f>'[1]1-1_ID_Execution_Schedule'!E68</f>
        <v>Not Started</v>
      </c>
      <c r="N69" s="3"/>
      <c r="O69" s="3"/>
      <c r="P69" s="3"/>
      <c r="Q69" s="3"/>
      <c r="R69" s="3"/>
    </row>
    <row r="70" spans="1:18" ht="24" customHeight="1">
      <c r="A70" s="3" t="s">
        <v>258</v>
      </c>
      <c r="B70" s="5" t="s">
        <v>73</v>
      </c>
      <c r="C70" s="3" t="s">
        <v>14</v>
      </c>
      <c r="D70" s="6" t="s">
        <v>39</v>
      </c>
      <c r="E70" s="3" t="s">
        <v>235</v>
      </c>
      <c r="F70" s="3" t="s">
        <v>255</v>
      </c>
      <c r="G70" s="3" t="s">
        <v>259</v>
      </c>
      <c r="H70" s="3" t="s">
        <v>260</v>
      </c>
      <c r="I70" s="3"/>
      <c r="J70" s="3" t="s">
        <v>69</v>
      </c>
      <c r="K70" s="3" t="s">
        <v>70</v>
      </c>
      <c r="L70" s="3" t="s">
        <v>71</v>
      </c>
      <c r="M70" s="3" t="str">
        <f>'[1]1-1_ID_Execution_Schedule'!E69</f>
        <v>Not Started</v>
      </c>
      <c r="N70" s="3"/>
      <c r="O70" s="3"/>
      <c r="P70" s="3"/>
      <c r="Q70" s="3"/>
      <c r="R70" s="3"/>
    </row>
    <row r="71" spans="1:18" ht="24" customHeight="1">
      <c r="A71" s="3" t="s">
        <v>261</v>
      </c>
      <c r="B71" s="5" t="s">
        <v>73</v>
      </c>
      <c r="C71" s="3" t="s">
        <v>14</v>
      </c>
      <c r="D71" s="6" t="s">
        <v>39</v>
      </c>
      <c r="E71" s="3" t="s">
        <v>235</v>
      </c>
      <c r="F71" s="3" t="s">
        <v>255</v>
      </c>
      <c r="G71" s="3" t="s">
        <v>262</v>
      </c>
      <c r="H71" s="3" t="s">
        <v>263</v>
      </c>
      <c r="I71" s="3"/>
      <c r="J71" s="3" t="s">
        <v>69</v>
      </c>
      <c r="K71" s="3" t="s">
        <v>70</v>
      </c>
      <c r="L71" s="3" t="s">
        <v>160</v>
      </c>
      <c r="M71" s="3" t="str">
        <f>'[1]1-1_ID_Execution_Schedule'!E70</f>
        <v>Not Started</v>
      </c>
      <c r="N71" s="3"/>
      <c r="O71" s="3"/>
      <c r="P71" s="3"/>
      <c r="Q71" s="3"/>
      <c r="R71" s="3"/>
    </row>
    <row r="72" spans="1:18" ht="24" customHeight="1">
      <c r="A72" s="3" t="s">
        <v>264</v>
      </c>
      <c r="B72" s="5" t="s">
        <v>123</v>
      </c>
      <c r="C72" s="3" t="s">
        <v>14</v>
      </c>
      <c r="D72" s="6" t="s">
        <v>39</v>
      </c>
      <c r="E72" s="3" t="s">
        <v>235</v>
      </c>
      <c r="F72" s="3" t="s">
        <v>265</v>
      </c>
      <c r="G72" s="3" t="s">
        <v>266</v>
      </c>
      <c r="H72" s="3" t="s">
        <v>267</v>
      </c>
      <c r="I72" s="3"/>
      <c r="J72" s="3" t="s">
        <v>77</v>
      </c>
      <c r="K72" s="3" t="s">
        <v>70</v>
      </c>
      <c r="L72" s="3" t="s">
        <v>71</v>
      </c>
      <c r="M72" s="3" t="str">
        <f>'[1]1-1_ID_Execution_Schedule'!E71</f>
        <v>Not Started</v>
      </c>
      <c r="N72" s="3"/>
      <c r="O72" s="3"/>
      <c r="P72" s="3"/>
      <c r="Q72" s="3"/>
      <c r="R72" s="3"/>
    </row>
    <row r="73" spans="1:18" ht="24" customHeight="1">
      <c r="A73" s="3" t="s">
        <v>268</v>
      </c>
      <c r="B73" s="5" t="s">
        <v>123</v>
      </c>
      <c r="C73" s="3" t="s">
        <v>14</v>
      </c>
      <c r="D73" s="6" t="s">
        <v>39</v>
      </c>
      <c r="E73" s="3" t="s">
        <v>235</v>
      </c>
      <c r="F73" s="3" t="s">
        <v>269</v>
      </c>
      <c r="G73" s="3" t="s">
        <v>270</v>
      </c>
      <c r="H73" s="3" t="s">
        <v>271</v>
      </c>
      <c r="I73" s="3"/>
      <c r="J73" s="3" t="s">
        <v>77</v>
      </c>
      <c r="K73" s="3" t="s">
        <v>70</v>
      </c>
      <c r="L73" s="3" t="s">
        <v>71</v>
      </c>
      <c r="M73" s="3" t="str">
        <f>'[1]1-1_ID_Execution_Schedule'!E72</f>
        <v>Not Started</v>
      </c>
      <c r="N73" s="3"/>
      <c r="O73" s="3"/>
      <c r="P73" s="3"/>
      <c r="Q73" s="3"/>
      <c r="R73" s="3"/>
    </row>
    <row r="74" spans="1:18" ht="24" customHeight="1">
      <c r="A74" s="3" t="s">
        <v>272</v>
      </c>
      <c r="B74" s="5" t="s">
        <v>73</v>
      </c>
      <c r="C74" s="3" t="s">
        <v>15</v>
      </c>
      <c r="D74" s="6" t="s">
        <v>89</v>
      </c>
      <c r="E74" s="3" t="s">
        <v>110</v>
      </c>
      <c r="F74" s="3" t="s">
        <v>273</v>
      </c>
      <c r="G74" s="3" t="s">
        <v>274</v>
      </c>
      <c r="H74" s="3" t="s">
        <v>275</v>
      </c>
      <c r="I74" s="3"/>
      <c r="J74" s="3" t="s">
        <v>44</v>
      </c>
      <c r="K74" s="3" t="s">
        <v>45</v>
      </c>
      <c r="L74" s="3" t="s">
        <v>46</v>
      </c>
      <c r="M74" s="3" t="str">
        <f>'[1]1-1_ID_Execution_Schedule'!E73</f>
        <v>Not Started</v>
      </c>
      <c r="N74" s="3"/>
      <c r="O74" s="3"/>
      <c r="P74" s="3"/>
      <c r="Q74" s="3"/>
      <c r="R74" s="3"/>
    </row>
    <row r="75" spans="1:18" ht="24" customHeight="1">
      <c r="A75" s="3" t="s">
        <v>276</v>
      </c>
      <c r="B75" s="5" t="s">
        <v>73</v>
      </c>
      <c r="C75" s="3" t="s">
        <v>15</v>
      </c>
      <c r="D75" s="6" t="s">
        <v>89</v>
      </c>
      <c r="E75" s="3" t="s">
        <v>110</v>
      </c>
      <c r="F75" s="3" t="s">
        <v>277</v>
      </c>
      <c r="G75" s="3" t="s">
        <v>278</v>
      </c>
      <c r="H75" s="3" t="s">
        <v>279</v>
      </c>
      <c r="I75" s="3"/>
      <c r="J75" s="3" t="s">
        <v>44</v>
      </c>
      <c r="K75" s="3" t="s">
        <v>45</v>
      </c>
      <c r="L75" s="3" t="s">
        <v>71</v>
      </c>
      <c r="M75" s="3">
        <f>'[1]1-1_ID_Execution_Schedule'!E74</f>
        <v>0</v>
      </c>
      <c r="N75" s="3"/>
      <c r="O75" s="3"/>
      <c r="P75" s="3"/>
      <c r="Q75" s="3"/>
      <c r="R75" s="3"/>
    </row>
    <row r="76" spans="1:18" ht="24" customHeight="1">
      <c r="A76" s="3" t="s">
        <v>280</v>
      </c>
      <c r="B76" s="5" t="s">
        <v>73</v>
      </c>
      <c r="C76" s="3" t="s">
        <v>15</v>
      </c>
      <c r="D76" s="6" t="s">
        <v>89</v>
      </c>
      <c r="E76" s="3" t="s">
        <v>110</v>
      </c>
      <c r="F76" s="3" t="s">
        <v>281</v>
      </c>
      <c r="G76" s="3" t="s">
        <v>282</v>
      </c>
      <c r="H76" s="3" t="s">
        <v>283</v>
      </c>
      <c r="I76" s="3"/>
      <c r="J76" s="3" t="s">
        <v>44</v>
      </c>
      <c r="K76" s="3" t="s">
        <v>45</v>
      </c>
      <c r="L76" s="3" t="s">
        <v>71</v>
      </c>
      <c r="M76" s="3">
        <f>'[1]1-1_ID_Execution_Schedule'!E75</f>
        <v>0</v>
      </c>
      <c r="N76" s="3"/>
      <c r="O76" s="3"/>
      <c r="P76" s="3"/>
      <c r="Q76" s="3"/>
      <c r="R76" s="3"/>
    </row>
    <row r="77" spans="1:18" ht="24" customHeight="1">
      <c r="A77" s="3" t="s">
        <v>284</v>
      </c>
      <c r="B77" s="5" t="s">
        <v>73</v>
      </c>
      <c r="C77" s="3" t="s">
        <v>15</v>
      </c>
      <c r="D77" s="6" t="s">
        <v>89</v>
      </c>
      <c r="E77" s="3" t="s">
        <v>110</v>
      </c>
      <c r="F77" s="3" t="s">
        <v>285</v>
      </c>
      <c r="G77" s="3" t="s">
        <v>286</v>
      </c>
      <c r="H77" s="3" t="s">
        <v>287</v>
      </c>
      <c r="I77" s="3"/>
      <c r="J77" s="3" t="s">
        <v>69</v>
      </c>
      <c r="K77" s="3" t="s">
        <v>45</v>
      </c>
      <c r="L77" s="3" t="s">
        <v>46</v>
      </c>
      <c r="M77" s="3">
        <f>'[1]1-1_ID_Execution_Schedule'!E76</f>
        <v>0</v>
      </c>
      <c r="N77" s="3"/>
      <c r="O77" s="3"/>
      <c r="P77" s="3"/>
      <c r="Q77" s="3"/>
      <c r="R77" s="3"/>
    </row>
    <row r="78" spans="1:18" ht="24" customHeight="1">
      <c r="A78" s="3" t="s">
        <v>288</v>
      </c>
      <c r="B78" s="5" t="s">
        <v>123</v>
      </c>
      <c r="C78" s="3" t="s">
        <v>15</v>
      </c>
      <c r="D78" s="6" t="s">
        <v>89</v>
      </c>
      <c r="E78" s="3" t="s">
        <v>110</v>
      </c>
      <c r="F78" s="3" t="s">
        <v>289</v>
      </c>
      <c r="G78" s="3" t="s">
        <v>290</v>
      </c>
      <c r="H78" s="3" t="s">
        <v>291</v>
      </c>
      <c r="I78" s="3"/>
      <c r="J78" s="3" t="s">
        <v>69</v>
      </c>
      <c r="K78" s="3" t="s">
        <v>45</v>
      </c>
      <c r="L78" s="3" t="s">
        <v>46</v>
      </c>
      <c r="M78" s="3">
        <f>'[1]1-1_ID_Execution_Schedule'!E77</f>
        <v>0</v>
      </c>
      <c r="N78" s="3"/>
      <c r="O78" s="3"/>
      <c r="P78" s="3"/>
      <c r="Q78" s="3"/>
      <c r="R78" s="3"/>
    </row>
    <row r="79" spans="1:18" ht="24" customHeight="1">
      <c r="A79" s="3" t="s">
        <v>292</v>
      </c>
      <c r="B79" s="5" t="s">
        <v>123</v>
      </c>
      <c r="C79" s="3" t="s">
        <v>15</v>
      </c>
      <c r="D79" s="6" t="s">
        <v>89</v>
      </c>
      <c r="E79" s="3" t="s">
        <v>110</v>
      </c>
      <c r="F79" s="3" t="s">
        <v>293</v>
      </c>
      <c r="G79" s="3" t="s">
        <v>294</v>
      </c>
      <c r="H79" s="3" t="s">
        <v>295</v>
      </c>
      <c r="I79" s="3"/>
      <c r="J79" s="3" t="s">
        <v>77</v>
      </c>
      <c r="K79" s="3" t="s">
        <v>70</v>
      </c>
      <c r="L79" s="3" t="s">
        <v>71</v>
      </c>
      <c r="M79" s="3">
        <f>'[1]1-1_ID_Execution_Schedule'!E78</f>
        <v>0</v>
      </c>
      <c r="N79" s="3"/>
      <c r="O79" s="3"/>
      <c r="P79" s="3"/>
      <c r="Q79" s="3"/>
      <c r="R79" s="3"/>
    </row>
    <row r="80" spans="1:18" ht="24" customHeight="1">
      <c r="A80" s="3" t="s">
        <v>296</v>
      </c>
      <c r="B80" s="5" t="s">
        <v>38</v>
      </c>
      <c r="C80" s="3" t="s">
        <v>16</v>
      </c>
      <c r="D80" s="6" t="s">
        <v>39</v>
      </c>
      <c r="E80" s="3" t="s">
        <v>40</v>
      </c>
      <c r="F80" s="3" t="s">
        <v>297</v>
      </c>
      <c r="G80" s="3" t="s">
        <v>298</v>
      </c>
      <c r="H80" s="3" t="s">
        <v>297</v>
      </c>
      <c r="I80" s="3"/>
      <c r="J80" s="3" t="s">
        <v>44</v>
      </c>
      <c r="K80" s="3" t="s">
        <v>45</v>
      </c>
      <c r="L80" s="3" t="s">
        <v>71</v>
      </c>
      <c r="M80" s="3">
        <f>'[1]1-1_ID_Execution_Schedule'!E79</f>
        <v>0</v>
      </c>
      <c r="N80" s="3"/>
      <c r="O80" s="3"/>
      <c r="P80" s="3"/>
      <c r="Q80" s="3"/>
      <c r="R80" s="3"/>
    </row>
    <row r="81" spans="1:18" ht="24" customHeight="1">
      <c r="A81" s="3" t="s">
        <v>299</v>
      </c>
      <c r="B81" s="5" t="s">
        <v>73</v>
      </c>
      <c r="C81" s="3" t="s">
        <v>16</v>
      </c>
      <c r="D81" s="6" t="s">
        <v>39</v>
      </c>
      <c r="E81" s="3" t="s">
        <v>40</v>
      </c>
      <c r="F81" s="3" t="s">
        <v>300</v>
      </c>
      <c r="G81" s="3" t="s">
        <v>301</v>
      </c>
      <c r="H81" s="3" t="s">
        <v>302</v>
      </c>
      <c r="I81" s="3"/>
      <c r="J81" s="3" t="s">
        <v>44</v>
      </c>
      <c r="K81" s="3" t="s">
        <v>45</v>
      </c>
      <c r="L81" s="3" t="s">
        <v>71</v>
      </c>
      <c r="M81" s="3">
        <f>'[1]1-1_ID_Execution_Schedule'!E80</f>
        <v>0</v>
      </c>
      <c r="N81" s="3"/>
      <c r="O81" s="3"/>
      <c r="P81" s="3"/>
      <c r="Q81" s="3"/>
      <c r="R81" s="3"/>
    </row>
    <row r="82" spans="1:18" ht="24" customHeight="1">
      <c r="A82" s="3" t="s">
        <v>303</v>
      </c>
      <c r="B82" s="5" t="s">
        <v>73</v>
      </c>
      <c r="C82" s="3" t="s">
        <v>16</v>
      </c>
      <c r="D82" s="6" t="s">
        <v>39</v>
      </c>
      <c r="E82" s="3" t="s">
        <v>40</v>
      </c>
      <c r="F82" s="3" t="s">
        <v>304</v>
      </c>
      <c r="G82" s="3" t="s">
        <v>305</v>
      </c>
      <c r="H82" s="3" t="s">
        <v>304</v>
      </c>
      <c r="I82" s="3"/>
      <c r="J82" s="3" t="s">
        <v>69</v>
      </c>
      <c r="K82" s="3" t="s">
        <v>70</v>
      </c>
      <c r="L82" s="3" t="s">
        <v>46</v>
      </c>
      <c r="M82" s="3">
        <f>'[1]1-1_ID_Execution_Schedule'!E81</f>
        <v>0</v>
      </c>
      <c r="N82" s="3"/>
      <c r="O82" s="3"/>
      <c r="P82" s="3"/>
      <c r="Q82" s="3"/>
      <c r="R82" s="3"/>
    </row>
    <row r="83" spans="1:18" ht="24" customHeight="1">
      <c r="A83" s="3" t="s">
        <v>306</v>
      </c>
      <c r="B83" s="5" t="s">
        <v>73</v>
      </c>
      <c r="C83" s="3" t="s">
        <v>16</v>
      </c>
      <c r="D83" s="6" t="s">
        <v>39</v>
      </c>
      <c r="E83" s="3" t="s">
        <v>40</v>
      </c>
      <c r="F83" s="3" t="s">
        <v>307</v>
      </c>
      <c r="G83" s="3" t="s">
        <v>308</v>
      </c>
      <c r="H83" s="3" t="s">
        <v>309</v>
      </c>
      <c r="I83" s="3"/>
      <c r="J83" s="3" t="s">
        <v>69</v>
      </c>
      <c r="K83" s="3" t="s">
        <v>70</v>
      </c>
      <c r="L83" s="3" t="s">
        <v>46</v>
      </c>
      <c r="M83" s="3">
        <f>'[1]1-1_ID_Execution_Schedule'!E82</f>
        <v>0</v>
      </c>
      <c r="N83" s="3"/>
      <c r="O83" s="3"/>
      <c r="P83" s="3"/>
      <c r="Q83" s="3"/>
      <c r="R83" s="3"/>
    </row>
    <row r="84" spans="1:18" ht="24" customHeight="1">
      <c r="A84" s="3" t="s">
        <v>310</v>
      </c>
      <c r="B84" s="5" t="s">
        <v>123</v>
      </c>
      <c r="C84" s="3" t="s">
        <v>17</v>
      </c>
      <c r="D84" s="6" t="s">
        <v>39</v>
      </c>
      <c r="E84" s="3" t="s">
        <v>235</v>
      </c>
      <c r="F84" s="3" t="s">
        <v>311</v>
      </c>
      <c r="G84" s="3" t="s">
        <v>312</v>
      </c>
      <c r="H84" s="3" t="s">
        <v>313</v>
      </c>
      <c r="I84" s="3"/>
      <c r="J84" s="3" t="s">
        <v>77</v>
      </c>
      <c r="K84" s="3" t="s">
        <v>70</v>
      </c>
      <c r="L84" s="3" t="s">
        <v>71</v>
      </c>
      <c r="M84" s="3">
        <f>'[1]1-1_ID_Execution_Schedule'!E83</f>
        <v>0</v>
      </c>
      <c r="N84" s="3"/>
      <c r="O84" s="3"/>
      <c r="P84" s="3"/>
      <c r="Q84" s="3"/>
      <c r="R84" s="3"/>
    </row>
    <row r="85" spans="1:18" ht="24" customHeight="1">
      <c r="A85" s="3" t="s">
        <v>314</v>
      </c>
      <c r="B85" s="5" t="s">
        <v>123</v>
      </c>
      <c r="C85" s="3" t="s">
        <v>17</v>
      </c>
      <c r="D85" s="6" t="s">
        <v>39</v>
      </c>
      <c r="E85" s="3" t="s">
        <v>235</v>
      </c>
      <c r="F85" s="3" t="s">
        <v>315</v>
      </c>
      <c r="G85" s="3" t="s">
        <v>316</v>
      </c>
      <c r="H85" s="3" t="s">
        <v>317</v>
      </c>
      <c r="I85" s="3"/>
      <c r="J85" s="3" t="s">
        <v>77</v>
      </c>
      <c r="K85" s="3" t="s">
        <v>70</v>
      </c>
      <c r="L85" s="3" t="s">
        <v>71</v>
      </c>
      <c r="M85" s="3">
        <f>'[1]1-1_ID_Execution_Schedule'!E84</f>
        <v>0</v>
      </c>
      <c r="N85" s="3"/>
      <c r="O85" s="3"/>
      <c r="P85" s="3"/>
      <c r="Q85" s="3"/>
      <c r="R85" s="3"/>
    </row>
    <row r="86" spans="1:18" ht="24" customHeight="1">
      <c r="A86" s="3" t="s">
        <v>318</v>
      </c>
      <c r="B86" s="5" t="s">
        <v>73</v>
      </c>
      <c r="C86" s="3" t="s">
        <v>8</v>
      </c>
      <c r="D86" s="6" t="s">
        <v>128</v>
      </c>
      <c r="E86" s="3" t="s">
        <v>129</v>
      </c>
      <c r="F86" s="3" t="s">
        <v>319</v>
      </c>
      <c r="G86" s="3" t="s">
        <v>320</v>
      </c>
      <c r="H86" s="3" t="s">
        <v>321</v>
      </c>
      <c r="I86" s="3"/>
      <c r="J86" s="3" t="s">
        <v>44</v>
      </c>
      <c r="K86" s="3" t="s">
        <v>45</v>
      </c>
      <c r="L86" s="3" t="s">
        <v>46</v>
      </c>
      <c r="M86" s="3">
        <f>'[1]1-1_ID_Execution_Schedule'!E85</f>
        <v>0</v>
      </c>
      <c r="N86" s="3"/>
      <c r="O86" s="3"/>
      <c r="P86" s="3"/>
      <c r="Q86" s="3"/>
      <c r="R86" s="3"/>
    </row>
    <row r="87" spans="1:18" ht="24" customHeight="1">
      <c r="A87" s="3" t="s">
        <v>322</v>
      </c>
      <c r="B87" s="5" t="s">
        <v>73</v>
      </c>
      <c r="C87" s="3" t="s">
        <v>8</v>
      </c>
      <c r="D87" s="6" t="s">
        <v>128</v>
      </c>
      <c r="E87" s="3" t="s">
        <v>129</v>
      </c>
      <c r="F87" s="3" t="s">
        <v>319</v>
      </c>
      <c r="G87" s="3" t="s">
        <v>323</v>
      </c>
      <c r="H87" s="3" t="s">
        <v>324</v>
      </c>
      <c r="I87" s="3"/>
      <c r="J87" s="3" t="s">
        <v>44</v>
      </c>
      <c r="K87" s="3" t="s">
        <v>45</v>
      </c>
      <c r="L87" s="3" t="s">
        <v>46</v>
      </c>
      <c r="M87" s="3">
        <f>'[1]1-1_ID_Execution_Schedule'!E86</f>
        <v>0</v>
      </c>
      <c r="N87" s="3"/>
      <c r="O87" s="3"/>
      <c r="P87" s="3"/>
      <c r="Q87" s="3"/>
      <c r="R87" s="3"/>
    </row>
    <row r="88" spans="1:18" ht="24" customHeight="1">
      <c r="A88" s="3" t="s">
        <v>325</v>
      </c>
      <c r="B88" s="5" t="s">
        <v>73</v>
      </c>
      <c r="C88" s="3" t="s">
        <v>8</v>
      </c>
      <c r="D88" s="6" t="s">
        <v>128</v>
      </c>
      <c r="E88" s="3" t="s">
        <v>129</v>
      </c>
      <c r="F88" s="3" t="s">
        <v>319</v>
      </c>
      <c r="G88" s="3" t="s">
        <v>326</v>
      </c>
      <c r="H88" s="3" t="s">
        <v>327</v>
      </c>
      <c r="I88" s="3"/>
      <c r="J88" s="3" t="s">
        <v>44</v>
      </c>
      <c r="K88" s="3" t="s">
        <v>45</v>
      </c>
      <c r="L88" s="3" t="s">
        <v>46</v>
      </c>
      <c r="M88" s="3">
        <f>'[1]1-1_ID_Execution_Schedule'!E87</f>
        <v>0</v>
      </c>
      <c r="N88" s="3"/>
      <c r="O88" s="3"/>
      <c r="P88" s="3"/>
      <c r="Q88" s="3"/>
      <c r="R88" s="3"/>
    </row>
    <row r="89" spans="1:18" ht="24" customHeight="1">
      <c r="A89" s="3" t="s">
        <v>328</v>
      </c>
      <c r="B89" s="5" t="s">
        <v>73</v>
      </c>
      <c r="C89" s="3" t="s">
        <v>8</v>
      </c>
      <c r="D89" s="6" t="s">
        <v>128</v>
      </c>
      <c r="E89" s="3" t="s">
        <v>129</v>
      </c>
      <c r="F89" s="3" t="s">
        <v>319</v>
      </c>
      <c r="G89" s="3" t="s">
        <v>329</v>
      </c>
      <c r="H89" s="3" t="s">
        <v>330</v>
      </c>
      <c r="I89" s="3"/>
      <c r="J89" s="3" t="s">
        <v>44</v>
      </c>
      <c r="K89" s="3" t="s">
        <v>45</v>
      </c>
      <c r="L89" s="3" t="s">
        <v>46</v>
      </c>
      <c r="M89" s="3">
        <f>'[1]1-1_ID_Execution_Schedule'!E88</f>
        <v>0</v>
      </c>
      <c r="N89" s="3"/>
      <c r="O89" s="3"/>
      <c r="P89" s="3"/>
      <c r="Q89" s="3"/>
      <c r="R89" s="3"/>
    </row>
    <row r="91" spans="1:18" ht="24" customHeight="1">
      <c r="A91" s="1" t="s">
        <v>331</v>
      </c>
    </row>
    <row r="92" spans="1:18" ht="24" customHeight="1">
      <c r="A92" s="7" t="s">
        <v>19</v>
      </c>
      <c r="B92" s="4" t="s">
        <v>332</v>
      </c>
      <c r="C92" s="7" t="s">
        <v>333</v>
      </c>
      <c r="D92" s="7" t="s">
        <v>22</v>
      </c>
      <c r="E92" s="2" t="s">
        <v>31</v>
      </c>
      <c r="F92" s="7" t="s">
        <v>334</v>
      </c>
      <c r="G92" s="7" t="s">
        <v>335</v>
      </c>
      <c r="H92" s="7" t="s">
        <v>336</v>
      </c>
      <c r="I92" s="7" t="s">
        <v>337</v>
      </c>
      <c r="J92" s="7" t="s">
        <v>338</v>
      </c>
      <c r="K92" s="7" t="s">
        <v>339</v>
      </c>
    </row>
    <row r="93" spans="1:18" ht="24" customHeight="1">
      <c r="A93" s="8" t="s">
        <v>88</v>
      </c>
      <c r="B93" s="8">
        <v>1</v>
      </c>
      <c r="C93" s="8" t="s">
        <v>38</v>
      </c>
      <c r="D93" s="8" t="s">
        <v>89</v>
      </c>
      <c r="E93" s="5" t="s">
        <v>4</v>
      </c>
      <c r="F93" s="8" t="s">
        <v>92</v>
      </c>
      <c r="G93" s="8" t="s">
        <v>340</v>
      </c>
      <c r="H93" s="8" t="s">
        <v>341</v>
      </c>
      <c r="I93" s="8" t="s">
        <v>342</v>
      </c>
      <c r="J93" s="8">
        <v>1.5</v>
      </c>
      <c r="K93" s="8" t="s">
        <v>343</v>
      </c>
    </row>
    <row r="94" spans="1:18" ht="24" customHeight="1">
      <c r="A94" s="8" t="s">
        <v>94</v>
      </c>
      <c r="B94" s="8">
        <v>2</v>
      </c>
      <c r="C94" s="8" t="s">
        <v>38</v>
      </c>
      <c r="D94" s="8" t="s">
        <v>89</v>
      </c>
      <c r="E94" s="5" t="s">
        <v>4</v>
      </c>
      <c r="F94" s="8" t="s">
        <v>95</v>
      </c>
      <c r="G94" s="8" t="s">
        <v>340</v>
      </c>
      <c r="H94" s="8" t="s">
        <v>341</v>
      </c>
      <c r="I94" s="8" t="s">
        <v>342</v>
      </c>
      <c r="J94" s="8">
        <v>1.5</v>
      </c>
      <c r="K94" s="8" t="s">
        <v>343</v>
      </c>
    </row>
    <row r="95" spans="1:18" ht="24" customHeight="1">
      <c r="A95" s="8" t="s">
        <v>97</v>
      </c>
      <c r="B95" s="8">
        <v>3</v>
      </c>
      <c r="C95" s="8" t="s">
        <v>38</v>
      </c>
      <c r="D95" s="8" t="s">
        <v>89</v>
      </c>
      <c r="E95" s="5" t="s">
        <v>4</v>
      </c>
      <c r="F95" s="8" t="s">
        <v>99</v>
      </c>
      <c r="G95" s="8" t="s">
        <v>340</v>
      </c>
      <c r="H95" s="8" t="s">
        <v>341</v>
      </c>
      <c r="I95" s="8" t="s">
        <v>342</v>
      </c>
      <c r="J95" s="8">
        <v>1.5</v>
      </c>
      <c r="K95" s="8" t="s">
        <v>343</v>
      </c>
    </row>
    <row r="96" spans="1:18" ht="24" customHeight="1">
      <c r="A96" s="8" t="s">
        <v>101</v>
      </c>
      <c r="B96" s="8">
        <v>4</v>
      </c>
      <c r="C96" s="8" t="s">
        <v>38</v>
      </c>
      <c r="D96" s="8" t="s">
        <v>89</v>
      </c>
      <c r="E96" s="5" t="s">
        <v>344</v>
      </c>
      <c r="F96" s="8" t="s">
        <v>103</v>
      </c>
      <c r="G96" s="8" t="s">
        <v>340</v>
      </c>
      <c r="H96" s="8" t="s">
        <v>341</v>
      </c>
      <c r="I96" s="8" t="s">
        <v>342</v>
      </c>
      <c r="J96" s="8">
        <v>1.5</v>
      </c>
      <c r="K96" s="8" t="s">
        <v>343</v>
      </c>
    </row>
    <row r="97" spans="1:11" ht="24" customHeight="1">
      <c r="A97" s="8" t="s">
        <v>105</v>
      </c>
      <c r="B97" s="8">
        <v>5</v>
      </c>
      <c r="C97" s="8" t="s">
        <v>38</v>
      </c>
      <c r="D97" s="8" t="s">
        <v>89</v>
      </c>
      <c r="E97" s="5" t="s">
        <v>4</v>
      </c>
      <c r="F97" s="8" t="s">
        <v>107</v>
      </c>
      <c r="G97" s="8" t="s">
        <v>340</v>
      </c>
      <c r="H97" s="8" t="s">
        <v>341</v>
      </c>
      <c r="I97" s="8" t="s">
        <v>342</v>
      </c>
      <c r="J97" s="8">
        <v>1.5</v>
      </c>
      <c r="K97" s="8" t="s">
        <v>343</v>
      </c>
    </row>
    <row r="98" spans="1:11" ht="24" customHeight="1">
      <c r="A98" s="8" t="s">
        <v>109</v>
      </c>
      <c r="B98" s="8">
        <v>6</v>
      </c>
      <c r="C98" s="8" t="s">
        <v>38</v>
      </c>
      <c r="D98" s="8" t="s">
        <v>89</v>
      </c>
      <c r="E98" s="5" t="s">
        <v>344</v>
      </c>
      <c r="F98" s="8" t="s">
        <v>112</v>
      </c>
      <c r="G98" s="8" t="s">
        <v>340</v>
      </c>
      <c r="H98" s="8" t="s">
        <v>341</v>
      </c>
      <c r="I98" s="8" t="s">
        <v>342</v>
      </c>
      <c r="J98" s="8">
        <v>1.5</v>
      </c>
      <c r="K98" s="8" t="s">
        <v>343</v>
      </c>
    </row>
    <row r="99" spans="1:11" ht="24" customHeight="1">
      <c r="A99" s="8" t="s">
        <v>114</v>
      </c>
      <c r="B99" s="8">
        <v>7</v>
      </c>
      <c r="C99" s="8" t="s">
        <v>38</v>
      </c>
      <c r="D99" s="8" t="s">
        <v>89</v>
      </c>
      <c r="E99" s="5" t="s">
        <v>4</v>
      </c>
      <c r="F99" s="8" t="s">
        <v>116</v>
      </c>
      <c r="G99" s="8" t="s">
        <v>340</v>
      </c>
      <c r="H99" s="8" t="s">
        <v>341</v>
      </c>
      <c r="I99" s="8" t="s">
        <v>342</v>
      </c>
      <c r="J99" s="8">
        <v>1.5</v>
      </c>
      <c r="K99" s="8" t="s">
        <v>343</v>
      </c>
    </row>
    <row r="100" spans="1:11" ht="24" customHeight="1">
      <c r="A100" s="8" t="s">
        <v>118</v>
      </c>
      <c r="B100" s="8">
        <v>8</v>
      </c>
      <c r="C100" s="8" t="s">
        <v>73</v>
      </c>
      <c r="D100" s="8" t="s">
        <v>89</v>
      </c>
      <c r="E100" s="5" t="s">
        <v>344</v>
      </c>
      <c r="F100" s="8" t="s">
        <v>120</v>
      </c>
      <c r="G100" s="8" t="s">
        <v>340</v>
      </c>
      <c r="H100" s="8" t="s">
        <v>341</v>
      </c>
      <c r="I100" s="8" t="s">
        <v>342</v>
      </c>
      <c r="J100" s="8">
        <v>1.5</v>
      </c>
      <c r="K100" s="8" t="s">
        <v>343</v>
      </c>
    </row>
    <row r="101" spans="1:11" ht="24" customHeight="1">
      <c r="A101" s="8" t="s">
        <v>122</v>
      </c>
      <c r="B101" s="8">
        <v>9</v>
      </c>
      <c r="C101" s="8" t="s">
        <v>123</v>
      </c>
      <c r="D101" s="8" t="s">
        <v>89</v>
      </c>
      <c r="E101" s="5" t="s">
        <v>344</v>
      </c>
      <c r="F101" s="8" t="s">
        <v>125</v>
      </c>
      <c r="G101" s="8" t="s">
        <v>340</v>
      </c>
      <c r="H101" s="8" t="s">
        <v>341</v>
      </c>
      <c r="I101" s="8" t="s">
        <v>342</v>
      </c>
      <c r="J101" s="8">
        <v>1.5</v>
      </c>
      <c r="K101" s="8" t="s">
        <v>343</v>
      </c>
    </row>
    <row r="102" spans="1:11" ht="24" customHeight="1">
      <c r="A102" s="8" t="s">
        <v>127</v>
      </c>
      <c r="B102" s="8">
        <v>10</v>
      </c>
      <c r="C102" s="8" t="s">
        <v>73</v>
      </c>
      <c r="D102" s="8" t="s">
        <v>128</v>
      </c>
      <c r="E102" s="5" t="s">
        <v>344</v>
      </c>
      <c r="F102" s="8" t="s">
        <v>131</v>
      </c>
      <c r="G102" s="8" t="s">
        <v>345</v>
      </c>
      <c r="H102" s="8" t="s">
        <v>346</v>
      </c>
      <c r="I102" s="8" t="s">
        <v>347</v>
      </c>
      <c r="J102" s="8">
        <v>2</v>
      </c>
      <c r="K102" s="8" t="s">
        <v>348</v>
      </c>
    </row>
    <row r="103" spans="1:11" ht="24" customHeight="1">
      <c r="A103" s="8" t="s">
        <v>133</v>
      </c>
      <c r="B103" s="8">
        <v>11</v>
      </c>
      <c r="C103" s="8" t="s">
        <v>73</v>
      </c>
      <c r="D103" s="8" t="s">
        <v>128</v>
      </c>
      <c r="E103" s="5" t="s">
        <v>344</v>
      </c>
      <c r="F103" s="8" t="s">
        <v>135</v>
      </c>
      <c r="G103" s="8" t="s">
        <v>345</v>
      </c>
      <c r="H103" s="8" t="s">
        <v>346</v>
      </c>
      <c r="I103" s="8" t="s">
        <v>347</v>
      </c>
      <c r="J103" s="8">
        <v>2</v>
      </c>
      <c r="K103" s="8" t="s">
        <v>348</v>
      </c>
    </row>
    <row r="104" spans="1:11" ht="24" customHeight="1">
      <c r="A104" s="8" t="s">
        <v>137</v>
      </c>
      <c r="B104" s="8">
        <v>12</v>
      </c>
      <c r="C104" s="8" t="s">
        <v>73</v>
      </c>
      <c r="D104" s="8" t="s">
        <v>128</v>
      </c>
      <c r="E104" s="5" t="s">
        <v>3</v>
      </c>
      <c r="F104" s="8" t="s">
        <v>139</v>
      </c>
      <c r="G104" s="8" t="s">
        <v>345</v>
      </c>
      <c r="H104" s="8" t="s">
        <v>346</v>
      </c>
      <c r="I104" s="8" t="s">
        <v>347</v>
      </c>
      <c r="J104" s="8">
        <v>2</v>
      </c>
      <c r="K104" s="8" t="s">
        <v>348</v>
      </c>
    </row>
    <row r="105" spans="1:11" ht="24" customHeight="1">
      <c r="A105" s="8" t="s">
        <v>141</v>
      </c>
      <c r="B105" s="8">
        <v>13</v>
      </c>
      <c r="C105" s="8" t="s">
        <v>73</v>
      </c>
      <c r="D105" s="8" t="s">
        <v>128</v>
      </c>
      <c r="E105" s="5" t="s">
        <v>4</v>
      </c>
      <c r="F105" s="8" t="s">
        <v>142</v>
      </c>
      <c r="G105" s="8" t="s">
        <v>345</v>
      </c>
      <c r="H105" s="8" t="s">
        <v>346</v>
      </c>
      <c r="I105" s="8" t="s">
        <v>347</v>
      </c>
      <c r="J105" s="8">
        <v>2</v>
      </c>
      <c r="K105" s="8" t="s">
        <v>348</v>
      </c>
    </row>
    <row r="106" spans="1:11" ht="24" customHeight="1">
      <c r="A106" s="8" t="s">
        <v>144</v>
      </c>
      <c r="B106" s="8">
        <v>14</v>
      </c>
      <c r="C106" s="8" t="s">
        <v>73</v>
      </c>
      <c r="D106" s="8" t="s">
        <v>128</v>
      </c>
      <c r="E106" s="5" t="s">
        <v>4</v>
      </c>
      <c r="F106" s="8" t="s">
        <v>146</v>
      </c>
      <c r="G106" s="8" t="s">
        <v>345</v>
      </c>
      <c r="H106" s="8" t="s">
        <v>346</v>
      </c>
      <c r="I106" s="8" t="s">
        <v>347</v>
      </c>
      <c r="J106" s="8">
        <v>2</v>
      </c>
      <c r="K106" s="8" t="s">
        <v>348</v>
      </c>
    </row>
    <row r="107" spans="1:11" ht="24" customHeight="1">
      <c r="A107" s="8" t="s">
        <v>148</v>
      </c>
      <c r="B107" s="8">
        <v>15</v>
      </c>
      <c r="C107" s="8" t="s">
        <v>73</v>
      </c>
      <c r="D107" s="8" t="s">
        <v>128</v>
      </c>
      <c r="E107" s="5" t="s">
        <v>4</v>
      </c>
      <c r="F107" s="8" t="s">
        <v>150</v>
      </c>
      <c r="G107" s="8" t="s">
        <v>345</v>
      </c>
      <c r="H107" s="8" t="s">
        <v>346</v>
      </c>
      <c r="I107" s="8" t="s">
        <v>347</v>
      </c>
      <c r="J107" s="8">
        <v>2</v>
      </c>
      <c r="K107" s="8" t="s">
        <v>348</v>
      </c>
    </row>
    <row r="108" spans="1:11" ht="24" customHeight="1">
      <c r="A108" s="8" t="s">
        <v>152</v>
      </c>
      <c r="B108" s="8">
        <v>16</v>
      </c>
      <c r="C108" s="8" t="s">
        <v>123</v>
      </c>
      <c r="D108" s="8" t="s">
        <v>128</v>
      </c>
      <c r="E108" s="5" t="s">
        <v>344</v>
      </c>
      <c r="F108" s="8" t="s">
        <v>154</v>
      </c>
      <c r="G108" s="8" t="s">
        <v>345</v>
      </c>
      <c r="H108" s="8" t="s">
        <v>346</v>
      </c>
      <c r="I108" s="8" t="s">
        <v>347</v>
      </c>
      <c r="J108" s="8">
        <v>2</v>
      </c>
      <c r="K108" s="8" t="s">
        <v>348</v>
      </c>
    </row>
    <row r="109" spans="1:11" ht="24" customHeight="1">
      <c r="A109" s="8" t="s">
        <v>156</v>
      </c>
      <c r="B109" s="8">
        <v>17</v>
      </c>
      <c r="C109" s="8" t="s">
        <v>73</v>
      </c>
      <c r="D109" s="8" t="s">
        <v>39</v>
      </c>
      <c r="E109" s="5" t="s">
        <v>4</v>
      </c>
      <c r="F109" s="8" t="s">
        <v>158</v>
      </c>
      <c r="G109" s="8" t="s">
        <v>349</v>
      </c>
      <c r="H109" s="8" t="s">
        <v>350</v>
      </c>
      <c r="I109" s="8" t="s">
        <v>351</v>
      </c>
      <c r="J109" s="8">
        <v>3</v>
      </c>
      <c r="K109" s="8" t="s">
        <v>352</v>
      </c>
    </row>
    <row r="110" spans="1:11" ht="24" customHeight="1">
      <c r="A110" s="8" t="s">
        <v>161</v>
      </c>
      <c r="B110" s="8">
        <v>18</v>
      </c>
      <c r="C110" s="8" t="s">
        <v>73</v>
      </c>
      <c r="D110" s="8" t="s">
        <v>39</v>
      </c>
      <c r="E110" s="5" t="s">
        <v>4</v>
      </c>
      <c r="F110" s="8" t="s">
        <v>163</v>
      </c>
      <c r="G110" s="8" t="s">
        <v>349</v>
      </c>
      <c r="H110" s="8" t="s">
        <v>350</v>
      </c>
      <c r="I110" s="8" t="s">
        <v>351</v>
      </c>
      <c r="J110" s="8">
        <v>3</v>
      </c>
      <c r="K110" s="8" t="s">
        <v>352</v>
      </c>
    </row>
    <row r="111" spans="1:11" ht="24" customHeight="1">
      <c r="A111" s="8" t="s">
        <v>165</v>
      </c>
      <c r="B111" s="8">
        <v>19</v>
      </c>
      <c r="C111" s="8" t="s">
        <v>73</v>
      </c>
      <c r="D111" s="8" t="s">
        <v>39</v>
      </c>
      <c r="E111" s="5" t="s">
        <v>4</v>
      </c>
      <c r="F111" s="8" t="s">
        <v>167</v>
      </c>
      <c r="G111" s="8" t="s">
        <v>349</v>
      </c>
      <c r="H111" s="8" t="s">
        <v>350</v>
      </c>
      <c r="I111" s="8" t="s">
        <v>351</v>
      </c>
      <c r="J111" s="8">
        <v>3</v>
      </c>
      <c r="K111" s="8" t="s">
        <v>352</v>
      </c>
    </row>
    <row r="112" spans="1:11" ht="24" customHeight="1">
      <c r="A112" s="8" t="s">
        <v>169</v>
      </c>
      <c r="B112" s="8">
        <v>20</v>
      </c>
      <c r="C112" s="8" t="s">
        <v>73</v>
      </c>
      <c r="D112" s="8" t="s">
        <v>39</v>
      </c>
      <c r="E112" s="5" t="s">
        <v>4</v>
      </c>
      <c r="F112" s="8" t="s">
        <v>170</v>
      </c>
      <c r="G112" s="8" t="s">
        <v>349</v>
      </c>
      <c r="H112" s="8" t="s">
        <v>350</v>
      </c>
      <c r="I112" s="8" t="s">
        <v>351</v>
      </c>
      <c r="J112" s="8">
        <v>3</v>
      </c>
      <c r="K112" s="8" t="s">
        <v>352</v>
      </c>
    </row>
    <row r="113" spans="1:11" ht="24" customHeight="1">
      <c r="A113" s="8" t="s">
        <v>172</v>
      </c>
      <c r="B113" s="8">
        <v>21</v>
      </c>
      <c r="C113" s="8" t="s">
        <v>73</v>
      </c>
      <c r="D113" s="8" t="s">
        <v>39</v>
      </c>
      <c r="E113" s="5" t="s">
        <v>344</v>
      </c>
      <c r="F113" s="8" t="s">
        <v>174</v>
      </c>
      <c r="G113" s="8" t="s">
        <v>349</v>
      </c>
      <c r="H113" s="8" t="s">
        <v>350</v>
      </c>
      <c r="I113" s="8" t="s">
        <v>351</v>
      </c>
      <c r="J113" s="8">
        <v>3</v>
      </c>
      <c r="K113" s="8" t="s">
        <v>352</v>
      </c>
    </row>
    <row r="114" spans="1:11" ht="24" customHeight="1">
      <c r="A114" s="8" t="s">
        <v>176</v>
      </c>
      <c r="B114" s="8">
        <v>22</v>
      </c>
      <c r="C114" s="8" t="s">
        <v>73</v>
      </c>
      <c r="D114" s="8" t="s">
        <v>39</v>
      </c>
      <c r="E114" s="5" t="s">
        <v>344</v>
      </c>
      <c r="F114" s="8" t="s">
        <v>178</v>
      </c>
      <c r="G114" s="8" t="s">
        <v>349</v>
      </c>
      <c r="H114" s="8" t="s">
        <v>350</v>
      </c>
      <c r="I114" s="8" t="s">
        <v>351</v>
      </c>
      <c r="J114" s="8">
        <v>3</v>
      </c>
      <c r="K114" s="8" t="s">
        <v>352</v>
      </c>
    </row>
    <row r="115" spans="1:11" ht="24" customHeight="1">
      <c r="A115" s="8" t="s">
        <v>180</v>
      </c>
      <c r="B115" s="8">
        <v>23</v>
      </c>
      <c r="C115" s="8" t="s">
        <v>123</v>
      </c>
      <c r="D115" s="8" t="s">
        <v>39</v>
      </c>
      <c r="E115" s="5" t="s">
        <v>344</v>
      </c>
      <c r="F115" s="8" t="s">
        <v>182</v>
      </c>
      <c r="G115" s="8" t="s">
        <v>349</v>
      </c>
      <c r="H115" s="8" t="s">
        <v>350</v>
      </c>
      <c r="I115" s="8" t="s">
        <v>351</v>
      </c>
      <c r="J115" s="8">
        <v>3</v>
      </c>
      <c r="K115" s="8" t="s">
        <v>352</v>
      </c>
    </row>
    <row r="116" spans="1:11" ht="24" customHeight="1">
      <c r="A116" s="8" t="s">
        <v>184</v>
      </c>
      <c r="B116" s="8">
        <v>24</v>
      </c>
      <c r="C116" s="8" t="s">
        <v>38</v>
      </c>
      <c r="D116" s="8" t="s">
        <v>39</v>
      </c>
      <c r="E116" s="5" t="s">
        <v>344</v>
      </c>
      <c r="F116" s="8" t="s">
        <v>186</v>
      </c>
      <c r="G116" s="8" t="s">
        <v>349</v>
      </c>
      <c r="H116" s="8" t="s">
        <v>350</v>
      </c>
      <c r="I116" s="8" t="s">
        <v>351</v>
      </c>
      <c r="J116" s="8">
        <v>2.5</v>
      </c>
      <c r="K116" s="8" t="s">
        <v>352</v>
      </c>
    </row>
    <row r="117" spans="1:11" ht="24" customHeight="1">
      <c r="A117" s="8" t="s">
        <v>188</v>
      </c>
      <c r="B117" s="8">
        <v>25</v>
      </c>
      <c r="C117" s="8" t="s">
        <v>73</v>
      </c>
      <c r="D117" s="8" t="s">
        <v>39</v>
      </c>
      <c r="E117" s="5" t="s">
        <v>344</v>
      </c>
      <c r="F117" s="8" t="s">
        <v>190</v>
      </c>
      <c r="G117" s="8" t="s">
        <v>349</v>
      </c>
      <c r="H117" s="8" t="s">
        <v>350</v>
      </c>
      <c r="I117" s="8" t="s">
        <v>351</v>
      </c>
      <c r="J117" s="8">
        <v>3</v>
      </c>
      <c r="K117" s="8" t="s">
        <v>352</v>
      </c>
    </row>
    <row r="118" spans="1:11" ht="24" customHeight="1">
      <c r="A118" s="8" t="s">
        <v>192</v>
      </c>
      <c r="B118" s="8">
        <v>26</v>
      </c>
      <c r="C118" s="8" t="s">
        <v>73</v>
      </c>
      <c r="D118" s="8" t="s">
        <v>39</v>
      </c>
      <c r="E118" s="5" t="s">
        <v>344</v>
      </c>
      <c r="F118" s="8" t="s">
        <v>193</v>
      </c>
      <c r="G118" s="8" t="s">
        <v>349</v>
      </c>
      <c r="H118" s="8" t="s">
        <v>350</v>
      </c>
      <c r="I118" s="8" t="s">
        <v>351</v>
      </c>
      <c r="J118" s="8">
        <v>3</v>
      </c>
      <c r="K118" s="8" t="s">
        <v>352</v>
      </c>
    </row>
    <row r="119" spans="1:11" ht="24" customHeight="1">
      <c r="A119" s="8" t="s">
        <v>195</v>
      </c>
      <c r="B119" s="8">
        <v>27</v>
      </c>
      <c r="C119" s="8" t="s">
        <v>73</v>
      </c>
      <c r="D119" s="8" t="s">
        <v>39</v>
      </c>
      <c r="E119" s="5" t="s">
        <v>344</v>
      </c>
      <c r="F119" s="8" t="s">
        <v>196</v>
      </c>
      <c r="G119" s="8" t="s">
        <v>349</v>
      </c>
      <c r="H119" s="8" t="s">
        <v>350</v>
      </c>
      <c r="I119" s="8" t="s">
        <v>351</v>
      </c>
      <c r="J119" s="8">
        <v>3</v>
      </c>
      <c r="K119" s="8" t="s">
        <v>352</v>
      </c>
    </row>
    <row r="120" spans="1:11" ht="24" customHeight="1">
      <c r="A120" s="8" t="s">
        <v>198</v>
      </c>
      <c r="B120" s="8">
        <v>28</v>
      </c>
      <c r="C120" s="8" t="s">
        <v>73</v>
      </c>
      <c r="D120" s="8" t="s">
        <v>39</v>
      </c>
      <c r="E120" s="5" t="s">
        <v>344</v>
      </c>
      <c r="F120" s="8" t="s">
        <v>200</v>
      </c>
      <c r="G120" s="8" t="s">
        <v>349</v>
      </c>
      <c r="H120" s="8" t="s">
        <v>350</v>
      </c>
      <c r="I120" s="8" t="s">
        <v>351</v>
      </c>
      <c r="J120" s="8">
        <v>3</v>
      </c>
      <c r="K120" s="8" t="s">
        <v>352</v>
      </c>
    </row>
    <row r="121" spans="1:11" ht="24" customHeight="1">
      <c r="A121" s="8" t="s">
        <v>202</v>
      </c>
      <c r="B121" s="8">
        <v>29</v>
      </c>
      <c r="C121" s="8" t="s">
        <v>73</v>
      </c>
      <c r="D121" s="8" t="s">
        <v>39</v>
      </c>
      <c r="E121" s="5" t="s">
        <v>344</v>
      </c>
      <c r="F121" s="8" t="s">
        <v>204</v>
      </c>
      <c r="G121" s="8" t="s">
        <v>349</v>
      </c>
      <c r="H121" s="8" t="s">
        <v>350</v>
      </c>
      <c r="I121" s="8" t="s">
        <v>351</v>
      </c>
      <c r="J121" s="8">
        <v>3</v>
      </c>
      <c r="K121" s="8" t="s">
        <v>352</v>
      </c>
    </row>
    <row r="122" spans="1:11" ht="24" customHeight="1">
      <c r="A122" s="8" t="s">
        <v>206</v>
      </c>
      <c r="B122" s="8">
        <v>30</v>
      </c>
      <c r="C122" s="8" t="s">
        <v>73</v>
      </c>
      <c r="D122" s="8" t="s">
        <v>39</v>
      </c>
      <c r="E122" s="5" t="s">
        <v>344</v>
      </c>
      <c r="F122" s="8" t="s">
        <v>208</v>
      </c>
      <c r="G122" s="8" t="s">
        <v>349</v>
      </c>
      <c r="H122" s="8" t="s">
        <v>350</v>
      </c>
      <c r="I122" s="8" t="s">
        <v>351</v>
      </c>
      <c r="J122" s="8">
        <v>3</v>
      </c>
      <c r="K122" s="8" t="s">
        <v>352</v>
      </c>
    </row>
    <row r="123" spans="1:11" ht="24" customHeight="1">
      <c r="A123" s="8" t="s">
        <v>210</v>
      </c>
      <c r="B123" s="8">
        <v>31</v>
      </c>
      <c r="C123" s="8" t="s">
        <v>123</v>
      </c>
      <c r="D123" s="8" t="s">
        <v>39</v>
      </c>
      <c r="E123" s="5" t="s">
        <v>344</v>
      </c>
      <c r="F123" s="8" t="s">
        <v>212</v>
      </c>
      <c r="G123" s="8" t="s">
        <v>349</v>
      </c>
      <c r="H123" s="8" t="s">
        <v>350</v>
      </c>
      <c r="I123" s="8" t="s">
        <v>351</v>
      </c>
      <c r="J123" s="8">
        <v>3</v>
      </c>
      <c r="K123" s="8" t="s">
        <v>352</v>
      </c>
    </row>
    <row r="124" spans="1:11" ht="24" customHeight="1">
      <c r="A124" s="8" t="s">
        <v>214</v>
      </c>
      <c r="B124" s="8">
        <v>32</v>
      </c>
      <c r="C124" s="8" t="s">
        <v>38</v>
      </c>
      <c r="D124" s="8" t="s">
        <v>128</v>
      </c>
      <c r="E124" s="5" t="s">
        <v>344</v>
      </c>
      <c r="F124" s="8" t="s">
        <v>216</v>
      </c>
      <c r="G124" s="8" t="s">
        <v>345</v>
      </c>
      <c r="H124" s="8" t="s">
        <v>346</v>
      </c>
      <c r="I124" s="8" t="s">
        <v>347</v>
      </c>
      <c r="J124" s="8">
        <v>2</v>
      </c>
      <c r="K124" s="8" t="s">
        <v>348</v>
      </c>
    </row>
    <row r="125" spans="1:11" ht="24" customHeight="1">
      <c r="A125" s="8" t="s">
        <v>218</v>
      </c>
      <c r="B125" s="8">
        <v>33</v>
      </c>
      <c r="C125" s="8" t="s">
        <v>73</v>
      </c>
      <c r="D125" s="8" t="s">
        <v>128</v>
      </c>
      <c r="E125" s="5" t="s">
        <v>344</v>
      </c>
      <c r="F125" s="8" t="s">
        <v>220</v>
      </c>
      <c r="G125" s="8" t="s">
        <v>345</v>
      </c>
      <c r="H125" s="8" t="s">
        <v>346</v>
      </c>
      <c r="I125" s="8" t="s">
        <v>347</v>
      </c>
      <c r="J125" s="8">
        <v>2</v>
      </c>
      <c r="K125" s="8" t="s">
        <v>348</v>
      </c>
    </row>
    <row r="126" spans="1:11" ht="24" customHeight="1">
      <c r="A126" s="8" t="s">
        <v>222</v>
      </c>
      <c r="B126" s="8">
        <v>34</v>
      </c>
      <c r="C126" s="8" t="s">
        <v>73</v>
      </c>
      <c r="D126" s="8" t="s">
        <v>128</v>
      </c>
      <c r="E126" s="5" t="s">
        <v>344</v>
      </c>
      <c r="F126" s="8" t="s">
        <v>224</v>
      </c>
      <c r="G126" s="8" t="s">
        <v>345</v>
      </c>
      <c r="H126" s="8" t="s">
        <v>346</v>
      </c>
      <c r="I126" s="8" t="s">
        <v>347</v>
      </c>
      <c r="J126" s="8">
        <v>2</v>
      </c>
      <c r="K126" s="8" t="s">
        <v>348</v>
      </c>
    </row>
    <row r="127" spans="1:11" ht="24" customHeight="1">
      <c r="A127" s="8" t="s">
        <v>226</v>
      </c>
      <c r="B127" s="8">
        <v>35</v>
      </c>
      <c r="C127" s="8" t="s">
        <v>73</v>
      </c>
      <c r="D127" s="8" t="s">
        <v>128</v>
      </c>
      <c r="E127" s="5" t="s">
        <v>344</v>
      </c>
      <c r="F127" s="8" t="s">
        <v>228</v>
      </c>
      <c r="G127" s="8" t="s">
        <v>345</v>
      </c>
      <c r="H127" s="8" t="s">
        <v>346</v>
      </c>
      <c r="I127" s="8" t="s">
        <v>347</v>
      </c>
      <c r="J127" s="8">
        <v>2</v>
      </c>
      <c r="K127" s="8" t="s">
        <v>348</v>
      </c>
    </row>
    <row r="128" spans="1:11" ht="24" customHeight="1">
      <c r="A128" s="8" t="s">
        <v>230</v>
      </c>
      <c r="B128" s="8">
        <v>36</v>
      </c>
      <c r="C128" s="8" t="s">
        <v>73</v>
      </c>
      <c r="D128" s="8" t="s">
        <v>128</v>
      </c>
      <c r="E128" s="5" t="s">
        <v>344</v>
      </c>
      <c r="F128" s="8" t="s">
        <v>232</v>
      </c>
      <c r="G128" s="8" t="s">
        <v>345</v>
      </c>
      <c r="H128" s="8" t="s">
        <v>346</v>
      </c>
      <c r="I128" s="8" t="s">
        <v>347</v>
      </c>
      <c r="J128" s="8">
        <v>2</v>
      </c>
      <c r="K128" s="8" t="s">
        <v>348</v>
      </c>
    </row>
    <row r="129" spans="1:11" ht="24" customHeight="1">
      <c r="A129" s="8" t="s">
        <v>234</v>
      </c>
      <c r="B129" s="8">
        <v>37</v>
      </c>
      <c r="C129" s="8" t="s">
        <v>73</v>
      </c>
      <c r="D129" s="8" t="s">
        <v>39</v>
      </c>
      <c r="E129" s="5" t="s">
        <v>344</v>
      </c>
      <c r="F129" s="8" t="s">
        <v>237</v>
      </c>
      <c r="G129" s="8" t="s">
        <v>349</v>
      </c>
      <c r="H129" s="8" t="s">
        <v>350</v>
      </c>
      <c r="I129" s="8" t="s">
        <v>351</v>
      </c>
      <c r="J129" s="8">
        <v>3</v>
      </c>
      <c r="K129" s="8" t="s">
        <v>352</v>
      </c>
    </row>
    <row r="130" spans="1:11" ht="24" customHeight="1">
      <c r="A130" s="8" t="s">
        <v>239</v>
      </c>
      <c r="B130" s="8">
        <v>38</v>
      </c>
      <c r="C130" s="8" t="s">
        <v>73</v>
      </c>
      <c r="D130" s="8" t="s">
        <v>39</v>
      </c>
      <c r="E130" s="5" t="s">
        <v>344</v>
      </c>
      <c r="F130" s="8" t="s">
        <v>241</v>
      </c>
      <c r="G130" s="8" t="s">
        <v>349</v>
      </c>
      <c r="H130" s="8" t="s">
        <v>350</v>
      </c>
      <c r="I130" s="8" t="s">
        <v>351</v>
      </c>
      <c r="J130" s="8">
        <v>3</v>
      </c>
      <c r="K130" s="8" t="s">
        <v>352</v>
      </c>
    </row>
    <row r="131" spans="1:11" ht="24" customHeight="1">
      <c r="A131" s="8" t="s">
        <v>243</v>
      </c>
      <c r="B131" s="8">
        <v>39</v>
      </c>
      <c r="C131" s="8" t="s">
        <v>73</v>
      </c>
      <c r="D131" s="8" t="s">
        <v>39</v>
      </c>
      <c r="E131" s="5" t="s">
        <v>344</v>
      </c>
      <c r="F131" s="8" t="s">
        <v>245</v>
      </c>
      <c r="G131" s="8" t="s">
        <v>349</v>
      </c>
      <c r="H131" s="8" t="s">
        <v>350</v>
      </c>
      <c r="I131" s="8" t="s">
        <v>351</v>
      </c>
      <c r="J131" s="8">
        <v>3</v>
      </c>
      <c r="K131" s="8" t="s">
        <v>352</v>
      </c>
    </row>
    <row r="132" spans="1:11" ht="24" customHeight="1">
      <c r="A132" s="8" t="s">
        <v>247</v>
      </c>
      <c r="B132" s="8">
        <v>40</v>
      </c>
      <c r="C132" s="8" t="s">
        <v>123</v>
      </c>
      <c r="D132" s="8" t="s">
        <v>39</v>
      </c>
      <c r="E132" s="5" t="s">
        <v>344</v>
      </c>
      <c r="F132" s="8" t="s">
        <v>249</v>
      </c>
      <c r="G132" s="8" t="s">
        <v>349</v>
      </c>
      <c r="H132" s="8" t="s">
        <v>350</v>
      </c>
      <c r="I132" s="8" t="s">
        <v>351</v>
      </c>
      <c r="J132" s="8">
        <v>3</v>
      </c>
      <c r="K132" s="8" t="s">
        <v>352</v>
      </c>
    </row>
    <row r="133" spans="1:11" ht="24" customHeight="1">
      <c r="A133" s="8" t="s">
        <v>251</v>
      </c>
      <c r="B133" s="8">
        <v>41</v>
      </c>
      <c r="C133" s="8" t="s">
        <v>123</v>
      </c>
      <c r="D133" s="8" t="s">
        <v>39</v>
      </c>
      <c r="E133" s="5" t="s">
        <v>344</v>
      </c>
      <c r="F133" s="8" t="s">
        <v>253</v>
      </c>
      <c r="G133" s="8" t="s">
        <v>349</v>
      </c>
      <c r="H133" s="8" t="s">
        <v>350</v>
      </c>
      <c r="I133" s="8" t="s">
        <v>351</v>
      </c>
      <c r="J133" s="8">
        <v>3</v>
      </c>
      <c r="K133" s="8" t="s">
        <v>352</v>
      </c>
    </row>
    <row r="134" spans="1:11" ht="24" customHeight="1">
      <c r="A134" s="8" t="s">
        <v>254</v>
      </c>
      <c r="B134" s="8">
        <v>42</v>
      </c>
      <c r="C134" s="8" t="s">
        <v>73</v>
      </c>
      <c r="D134" s="8" t="s">
        <v>39</v>
      </c>
      <c r="E134" s="5" t="s">
        <v>344</v>
      </c>
      <c r="F134" s="8" t="s">
        <v>256</v>
      </c>
      <c r="G134" s="8" t="s">
        <v>349</v>
      </c>
      <c r="H134" s="8" t="s">
        <v>350</v>
      </c>
      <c r="I134" s="8" t="s">
        <v>351</v>
      </c>
      <c r="J134" s="8">
        <v>3</v>
      </c>
      <c r="K134" s="8" t="s">
        <v>352</v>
      </c>
    </row>
    <row r="135" spans="1:11" ht="24" customHeight="1">
      <c r="A135" s="8" t="s">
        <v>258</v>
      </c>
      <c r="B135" s="8">
        <v>43</v>
      </c>
      <c r="C135" s="8" t="s">
        <v>73</v>
      </c>
      <c r="D135" s="8" t="s">
        <v>39</v>
      </c>
      <c r="E135" s="5" t="s">
        <v>344</v>
      </c>
      <c r="F135" s="8" t="s">
        <v>259</v>
      </c>
      <c r="G135" s="8" t="s">
        <v>349</v>
      </c>
      <c r="H135" s="8" t="s">
        <v>350</v>
      </c>
      <c r="I135" s="8" t="s">
        <v>351</v>
      </c>
      <c r="J135" s="8">
        <v>3</v>
      </c>
      <c r="K135" s="8" t="s">
        <v>352</v>
      </c>
    </row>
    <row r="136" spans="1:11" ht="24" customHeight="1">
      <c r="A136" s="8" t="s">
        <v>261</v>
      </c>
      <c r="B136" s="8">
        <v>44</v>
      </c>
      <c r="C136" s="8" t="s">
        <v>73</v>
      </c>
      <c r="D136" s="8" t="s">
        <v>39</v>
      </c>
      <c r="E136" s="5" t="s">
        <v>344</v>
      </c>
      <c r="F136" s="8" t="s">
        <v>262</v>
      </c>
      <c r="G136" s="8" t="s">
        <v>349</v>
      </c>
      <c r="H136" s="8" t="s">
        <v>350</v>
      </c>
      <c r="I136" s="8" t="s">
        <v>351</v>
      </c>
      <c r="J136" s="8">
        <v>3</v>
      </c>
      <c r="K136" s="8" t="s">
        <v>352</v>
      </c>
    </row>
    <row r="137" spans="1:11" ht="24" customHeight="1">
      <c r="A137" s="8" t="s">
        <v>264</v>
      </c>
      <c r="B137" s="8">
        <v>45</v>
      </c>
      <c r="C137" s="8" t="s">
        <v>123</v>
      </c>
      <c r="D137" s="8" t="s">
        <v>39</v>
      </c>
      <c r="E137" s="5" t="s">
        <v>344</v>
      </c>
      <c r="F137" s="8" t="s">
        <v>266</v>
      </c>
      <c r="G137" s="8" t="s">
        <v>349</v>
      </c>
      <c r="H137" s="8" t="s">
        <v>350</v>
      </c>
      <c r="I137" s="8" t="s">
        <v>351</v>
      </c>
      <c r="J137" s="8">
        <v>3</v>
      </c>
      <c r="K137" s="8" t="s">
        <v>352</v>
      </c>
    </row>
    <row r="138" spans="1:11" ht="24" customHeight="1">
      <c r="A138" s="8" t="s">
        <v>37</v>
      </c>
      <c r="B138" s="8">
        <v>46</v>
      </c>
      <c r="C138" s="8" t="s">
        <v>38</v>
      </c>
      <c r="D138" s="8" t="s">
        <v>39</v>
      </c>
      <c r="E138" s="5" t="s">
        <v>3</v>
      </c>
      <c r="F138" s="8" t="s">
        <v>42</v>
      </c>
      <c r="G138" s="8" t="s">
        <v>349</v>
      </c>
      <c r="H138" s="8" t="s">
        <v>350</v>
      </c>
      <c r="I138" s="8" t="s">
        <v>351</v>
      </c>
      <c r="J138" s="8">
        <v>2.5</v>
      </c>
      <c r="K138" s="8" t="s">
        <v>352</v>
      </c>
    </row>
    <row r="139" spans="1:11" ht="24" customHeight="1">
      <c r="A139" s="8" t="s">
        <v>47</v>
      </c>
      <c r="B139" s="8">
        <v>47</v>
      </c>
      <c r="C139" s="8" t="s">
        <v>38</v>
      </c>
      <c r="D139" s="8" t="s">
        <v>39</v>
      </c>
      <c r="E139" s="5" t="s">
        <v>3</v>
      </c>
      <c r="F139" s="8" t="s">
        <v>48</v>
      </c>
      <c r="G139" s="8" t="s">
        <v>349</v>
      </c>
      <c r="H139" s="8" t="s">
        <v>350</v>
      </c>
      <c r="I139" s="8" t="s">
        <v>351</v>
      </c>
      <c r="J139" s="8">
        <v>2.5</v>
      </c>
      <c r="K139" s="8" t="s">
        <v>352</v>
      </c>
    </row>
    <row r="140" spans="1:11" ht="24" customHeight="1">
      <c r="A140" s="8" t="s">
        <v>50</v>
      </c>
      <c r="B140" s="8">
        <v>48</v>
      </c>
      <c r="C140" s="8" t="s">
        <v>38</v>
      </c>
      <c r="D140" s="8" t="s">
        <v>39</v>
      </c>
      <c r="E140" s="5" t="s">
        <v>3</v>
      </c>
      <c r="F140" s="8" t="s">
        <v>51</v>
      </c>
      <c r="G140" s="8" t="s">
        <v>349</v>
      </c>
      <c r="H140" s="8" t="s">
        <v>350</v>
      </c>
      <c r="I140" s="8" t="s">
        <v>351</v>
      </c>
      <c r="J140" s="8">
        <v>2.5</v>
      </c>
      <c r="K140" s="8" t="s">
        <v>352</v>
      </c>
    </row>
    <row r="141" spans="1:11" ht="24" customHeight="1">
      <c r="A141" s="8" t="s">
        <v>53</v>
      </c>
      <c r="B141" s="8">
        <v>49</v>
      </c>
      <c r="C141" s="8" t="s">
        <v>38</v>
      </c>
      <c r="D141" s="8" t="s">
        <v>39</v>
      </c>
      <c r="E141" s="5" t="s">
        <v>4</v>
      </c>
      <c r="F141" s="8" t="s">
        <v>55</v>
      </c>
      <c r="G141" s="8" t="s">
        <v>349</v>
      </c>
      <c r="H141" s="8" t="s">
        <v>350</v>
      </c>
      <c r="I141" s="8" t="s">
        <v>351</v>
      </c>
      <c r="J141" s="8">
        <v>2.5</v>
      </c>
      <c r="K141" s="8" t="s">
        <v>352</v>
      </c>
    </row>
    <row r="142" spans="1:11" ht="24" customHeight="1">
      <c r="A142" s="8" t="s">
        <v>57</v>
      </c>
      <c r="B142" s="8">
        <v>50</v>
      </c>
      <c r="C142" s="8" t="s">
        <v>38</v>
      </c>
      <c r="D142" s="8" t="s">
        <v>39</v>
      </c>
      <c r="E142" s="5" t="s">
        <v>4</v>
      </c>
      <c r="F142" s="8" t="s">
        <v>59</v>
      </c>
      <c r="G142" s="8" t="s">
        <v>349</v>
      </c>
      <c r="H142" s="8" t="s">
        <v>350</v>
      </c>
      <c r="I142" s="8" t="s">
        <v>351</v>
      </c>
      <c r="J142" s="8">
        <v>2.5</v>
      </c>
      <c r="K142" s="8" t="s">
        <v>352</v>
      </c>
    </row>
    <row r="143" spans="1:11" ht="24" customHeight="1">
      <c r="A143" s="8" t="s">
        <v>61</v>
      </c>
      <c r="B143" s="8">
        <v>51</v>
      </c>
      <c r="C143" s="8" t="s">
        <v>38</v>
      </c>
      <c r="D143" s="8" t="s">
        <v>39</v>
      </c>
      <c r="E143" s="5" t="s">
        <v>4</v>
      </c>
      <c r="F143" s="8" t="s">
        <v>63</v>
      </c>
      <c r="G143" s="8" t="s">
        <v>349</v>
      </c>
      <c r="H143" s="8" t="s">
        <v>350</v>
      </c>
      <c r="I143" s="8" t="s">
        <v>351</v>
      </c>
      <c r="J143" s="8">
        <v>2.5</v>
      </c>
      <c r="K143" s="8" t="s">
        <v>352</v>
      </c>
    </row>
    <row r="144" spans="1:11" ht="24" customHeight="1">
      <c r="A144" s="8" t="s">
        <v>65</v>
      </c>
      <c r="B144" s="8">
        <v>52</v>
      </c>
      <c r="C144" s="8" t="s">
        <v>38</v>
      </c>
      <c r="D144" s="8" t="s">
        <v>39</v>
      </c>
      <c r="E144" s="5" t="s">
        <v>344</v>
      </c>
      <c r="F144" s="8" t="s">
        <v>67</v>
      </c>
      <c r="G144" s="8" t="s">
        <v>349</v>
      </c>
      <c r="H144" s="8" t="s">
        <v>350</v>
      </c>
      <c r="I144" s="8" t="s">
        <v>351</v>
      </c>
      <c r="J144" s="8">
        <v>2.5</v>
      </c>
      <c r="K144" s="8" t="s">
        <v>352</v>
      </c>
    </row>
    <row r="145" spans="1:11" ht="24" customHeight="1">
      <c r="A145" s="8" t="s">
        <v>72</v>
      </c>
      <c r="B145" s="8">
        <v>53</v>
      </c>
      <c r="C145" s="8" t="s">
        <v>73</v>
      </c>
      <c r="D145" s="8" t="s">
        <v>39</v>
      </c>
      <c r="E145" s="5" t="s">
        <v>344</v>
      </c>
      <c r="F145" s="8" t="s">
        <v>75</v>
      </c>
      <c r="G145" s="8" t="s">
        <v>349</v>
      </c>
      <c r="H145" s="8" t="s">
        <v>350</v>
      </c>
      <c r="I145" s="8" t="s">
        <v>351</v>
      </c>
      <c r="J145" s="8">
        <v>3</v>
      </c>
      <c r="K145" s="8" t="s">
        <v>352</v>
      </c>
    </row>
    <row r="146" spans="1:11" ht="24" customHeight="1">
      <c r="A146" s="8" t="s">
        <v>78</v>
      </c>
      <c r="B146" s="8">
        <v>54</v>
      </c>
      <c r="C146" s="8" t="s">
        <v>73</v>
      </c>
      <c r="D146" s="8" t="s">
        <v>39</v>
      </c>
      <c r="E146" s="5" t="s">
        <v>344</v>
      </c>
      <c r="F146" s="8" t="s">
        <v>80</v>
      </c>
      <c r="G146" s="8" t="s">
        <v>349</v>
      </c>
      <c r="H146" s="8" t="s">
        <v>350</v>
      </c>
      <c r="I146" s="8" t="s">
        <v>351</v>
      </c>
      <c r="J146" s="8">
        <v>3</v>
      </c>
      <c r="K146" s="8" t="s">
        <v>352</v>
      </c>
    </row>
    <row r="147" spans="1:11" ht="24" customHeight="1">
      <c r="A147" s="8" t="s">
        <v>82</v>
      </c>
      <c r="B147" s="8">
        <v>55</v>
      </c>
      <c r="C147" s="8" t="s">
        <v>73</v>
      </c>
      <c r="D147" s="8" t="s">
        <v>39</v>
      </c>
      <c r="E147" s="5" t="s">
        <v>344</v>
      </c>
      <c r="F147" s="8" t="s">
        <v>84</v>
      </c>
      <c r="G147" s="8" t="s">
        <v>349</v>
      </c>
      <c r="H147" s="8" t="s">
        <v>350</v>
      </c>
      <c r="I147" s="8" t="s">
        <v>351</v>
      </c>
      <c r="J147" s="8">
        <v>3</v>
      </c>
      <c r="K147" s="8" t="s">
        <v>352</v>
      </c>
    </row>
    <row r="148" spans="1:11" ht="24" customHeight="1">
      <c r="A148" s="8" t="s">
        <v>268</v>
      </c>
      <c r="B148" s="8">
        <v>56</v>
      </c>
      <c r="C148" s="8" t="s">
        <v>123</v>
      </c>
      <c r="D148" s="8" t="s">
        <v>39</v>
      </c>
      <c r="E148" s="5" t="s">
        <v>344</v>
      </c>
      <c r="F148" s="8" t="s">
        <v>270</v>
      </c>
      <c r="G148" s="8" t="s">
        <v>349</v>
      </c>
      <c r="H148" s="8" t="s">
        <v>350</v>
      </c>
      <c r="I148" s="8" t="s">
        <v>351</v>
      </c>
      <c r="J148" s="8">
        <v>3</v>
      </c>
      <c r="K148" s="8" t="s">
        <v>352</v>
      </c>
    </row>
    <row r="149" spans="1:11" ht="24" customHeight="1">
      <c r="A149" s="8" t="s">
        <v>272</v>
      </c>
      <c r="B149" s="8">
        <v>57</v>
      </c>
      <c r="C149" s="8" t="s">
        <v>73</v>
      </c>
      <c r="D149" s="8" t="s">
        <v>89</v>
      </c>
      <c r="E149" s="5" t="s">
        <v>344</v>
      </c>
      <c r="F149" s="8" t="s">
        <v>274</v>
      </c>
      <c r="G149" s="8" t="s">
        <v>340</v>
      </c>
      <c r="H149" s="8" t="s">
        <v>341</v>
      </c>
      <c r="I149" s="8" t="s">
        <v>342</v>
      </c>
      <c r="J149" s="8">
        <v>1.5</v>
      </c>
      <c r="K149" s="8" t="s">
        <v>343</v>
      </c>
    </row>
    <row r="150" spans="1:11" ht="24" customHeight="1">
      <c r="A150" s="8" t="s">
        <v>276</v>
      </c>
      <c r="B150" s="8">
        <v>58</v>
      </c>
      <c r="C150" s="8" t="s">
        <v>73</v>
      </c>
      <c r="D150" s="8" t="s">
        <v>89</v>
      </c>
      <c r="E150" s="5" t="s">
        <v>344</v>
      </c>
      <c r="F150" s="8" t="s">
        <v>278</v>
      </c>
      <c r="G150" s="8" t="s">
        <v>340</v>
      </c>
      <c r="H150" s="8" t="s">
        <v>341</v>
      </c>
      <c r="I150" s="8" t="s">
        <v>342</v>
      </c>
      <c r="J150" s="8">
        <v>1.5</v>
      </c>
      <c r="K150" s="8" t="s">
        <v>343</v>
      </c>
    </row>
    <row r="151" spans="1:11" ht="24" customHeight="1">
      <c r="A151" s="8" t="s">
        <v>280</v>
      </c>
      <c r="B151" s="8">
        <v>59</v>
      </c>
      <c r="C151" s="8" t="s">
        <v>73</v>
      </c>
      <c r="D151" s="8" t="s">
        <v>89</v>
      </c>
      <c r="E151" s="5" t="s">
        <v>344</v>
      </c>
      <c r="F151" s="8" t="s">
        <v>282</v>
      </c>
      <c r="G151" s="8" t="s">
        <v>340</v>
      </c>
      <c r="H151" s="8" t="s">
        <v>341</v>
      </c>
      <c r="I151" s="8" t="s">
        <v>342</v>
      </c>
      <c r="J151" s="8">
        <v>1.5</v>
      </c>
      <c r="K151" s="8" t="s">
        <v>343</v>
      </c>
    </row>
    <row r="152" spans="1:11" ht="24" customHeight="1">
      <c r="A152" s="8" t="s">
        <v>284</v>
      </c>
      <c r="B152" s="8">
        <v>60</v>
      </c>
      <c r="C152" s="8" t="s">
        <v>73</v>
      </c>
      <c r="D152" s="8" t="s">
        <v>89</v>
      </c>
      <c r="E152" s="5" t="s">
        <v>344</v>
      </c>
      <c r="F152" s="8" t="s">
        <v>286</v>
      </c>
      <c r="G152" s="8" t="s">
        <v>340</v>
      </c>
      <c r="H152" s="8" t="s">
        <v>341</v>
      </c>
      <c r="I152" s="8" t="s">
        <v>342</v>
      </c>
      <c r="J152" s="8">
        <v>1.5</v>
      </c>
      <c r="K152" s="8" t="s">
        <v>343</v>
      </c>
    </row>
    <row r="153" spans="1:11" ht="24" customHeight="1">
      <c r="A153" s="8" t="s">
        <v>288</v>
      </c>
      <c r="B153" s="8">
        <v>61</v>
      </c>
      <c r="C153" s="8" t="s">
        <v>123</v>
      </c>
      <c r="D153" s="8" t="s">
        <v>89</v>
      </c>
      <c r="E153" s="5" t="s">
        <v>344</v>
      </c>
      <c r="F153" s="8" t="s">
        <v>290</v>
      </c>
      <c r="G153" s="8" t="s">
        <v>340</v>
      </c>
      <c r="H153" s="8" t="s">
        <v>341</v>
      </c>
      <c r="I153" s="8" t="s">
        <v>342</v>
      </c>
      <c r="J153" s="8">
        <v>1.5</v>
      </c>
      <c r="K153" s="8" t="s">
        <v>343</v>
      </c>
    </row>
    <row r="154" spans="1:11" ht="24" customHeight="1">
      <c r="A154" s="8" t="s">
        <v>292</v>
      </c>
      <c r="B154" s="8">
        <v>62</v>
      </c>
      <c r="C154" s="8" t="s">
        <v>123</v>
      </c>
      <c r="D154" s="8" t="s">
        <v>89</v>
      </c>
      <c r="E154" s="5" t="s">
        <v>344</v>
      </c>
      <c r="F154" s="8" t="s">
        <v>294</v>
      </c>
      <c r="G154" s="8" t="s">
        <v>340</v>
      </c>
      <c r="H154" s="8" t="s">
        <v>341</v>
      </c>
      <c r="I154" s="8" t="s">
        <v>342</v>
      </c>
      <c r="J154" s="8">
        <v>1.5</v>
      </c>
      <c r="K154" s="8" t="s">
        <v>343</v>
      </c>
    </row>
    <row r="155" spans="1:11" ht="24" customHeight="1">
      <c r="A155" s="8" t="s">
        <v>296</v>
      </c>
      <c r="B155" s="8">
        <v>63</v>
      </c>
      <c r="C155" s="8" t="s">
        <v>38</v>
      </c>
      <c r="D155" s="8" t="s">
        <v>39</v>
      </c>
      <c r="E155" s="5" t="s">
        <v>344</v>
      </c>
      <c r="F155" s="8" t="s">
        <v>298</v>
      </c>
      <c r="G155" s="8" t="s">
        <v>349</v>
      </c>
      <c r="H155" s="8" t="s">
        <v>350</v>
      </c>
      <c r="I155" s="8" t="s">
        <v>351</v>
      </c>
      <c r="J155" s="8">
        <v>2.5</v>
      </c>
      <c r="K155" s="8" t="s">
        <v>352</v>
      </c>
    </row>
    <row r="156" spans="1:11" ht="24" customHeight="1">
      <c r="A156" s="8" t="s">
        <v>299</v>
      </c>
      <c r="B156" s="8">
        <v>64</v>
      </c>
      <c r="C156" s="8" t="s">
        <v>73</v>
      </c>
      <c r="D156" s="8" t="s">
        <v>39</v>
      </c>
      <c r="E156" s="5" t="s">
        <v>344</v>
      </c>
      <c r="F156" s="8" t="s">
        <v>301</v>
      </c>
      <c r="G156" s="8" t="s">
        <v>349</v>
      </c>
      <c r="H156" s="8" t="s">
        <v>350</v>
      </c>
      <c r="I156" s="8" t="s">
        <v>351</v>
      </c>
      <c r="J156" s="8">
        <v>3</v>
      </c>
      <c r="K156" s="8" t="s">
        <v>352</v>
      </c>
    </row>
    <row r="157" spans="1:11" ht="24" customHeight="1">
      <c r="A157" s="8" t="s">
        <v>303</v>
      </c>
      <c r="B157" s="8">
        <v>65</v>
      </c>
      <c r="C157" s="8" t="s">
        <v>73</v>
      </c>
      <c r="D157" s="8" t="s">
        <v>39</v>
      </c>
      <c r="E157" s="5" t="s">
        <v>344</v>
      </c>
      <c r="F157" s="8" t="s">
        <v>305</v>
      </c>
      <c r="G157" s="8" t="s">
        <v>349</v>
      </c>
      <c r="H157" s="8" t="s">
        <v>350</v>
      </c>
      <c r="I157" s="8" t="s">
        <v>351</v>
      </c>
      <c r="J157" s="8">
        <v>3</v>
      </c>
      <c r="K157" s="8" t="s">
        <v>352</v>
      </c>
    </row>
    <row r="158" spans="1:11" ht="24" customHeight="1">
      <c r="A158" s="8" t="s">
        <v>306</v>
      </c>
      <c r="B158" s="8">
        <v>66</v>
      </c>
      <c r="C158" s="8" t="s">
        <v>73</v>
      </c>
      <c r="D158" s="8" t="s">
        <v>39</v>
      </c>
      <c r="E158" s="5" t="s">
        <v>344</v>
      </c>
      <c r="F158" s="8" t="s">
        <v>308</v>
      </c>
      <c r="G158" s="8" t="s">
        <v>349</v>
      </c>
      <c r="H158" s="8" t="s">
        <v>350</v>
      </c>
      <c r="I158" s="8" t="s">
        <v>351</v>
      </c>
      <c r="J158" s="8">
        <v>3</v>
      </c>
      <c r="K158" s="8" t="s">
        <v>352</v>
      </c>
    </row>
    <row r="159" spans="1:11" ht="24" customHeight="1">
      <c r="A159" s="8" t="s">
        <v>310</v>
      </c>
      <c r="B159" s="8">
        <v>67</v>
      </c>
      <c r="C159" s="8" t="s">
        <v>123</v>
      </c>
      <c r="D159" s="8" t="s">
        <v>39</v>
      </c>
      <c r="E159" s="5" t="s">
        <v>344</v>
      </c>
      <c r="F159" s="8" t="s">
        <v>312</v>
      </c>
      <c r="G159" s="8" t="s">
        <v>349</v>
      </c>
      <c r="H159" s="8" t="s">
        <v>350</v>
      </c>
      <c r="I159" s="8" t="s">
        <v>351</v>
      </c>
      <c r="J159" s="8">
        <v>3</v>
      </c>
      <c r="K159" s="8" t="s">
        <v>352</v>
      </c>
    </row>
    <row r="160" spans="1:11" ht="24" customHeight="1">
      <c r="A160" s="8" t="s">
        <v>353</v>
      </c>
      <c r="B160" s="8">
        <v>68</v>
      </c>
      <c r="C160" s="8" t="s">
        <v>123</v>
      </c>
      <c r="D160" s="8" t="s">
        <v>39</v>
      </c>
      <c r="E160" s="5" t="s">
        <v>344</v>
      </c>
      <c r="F160" s="8" t="s">
        <v>316</v>
      </c>
      <c r="G160" s="8" t="s">
        <v>349</v>
      </c>
      <c r="H160" s="8" t="s">
        <v>350</v>
      </c>
      <c r="I160" s="8" t="s">
        <v>351</v>
      </c>
      <c r="J160" s="8">
        <v>3</v>
      </c>
      <c r="K160" s="8" t="s">
        <v>352</v>
      </c>
    </row>
    <row r="161" spans="1:11" ht="24" customHeight="1">
      <c r="A161" s="8" t="s">
        <v>318</v>
      </c>
      <c r="B161" s="8">
        <v>69</v>
      </c>
      <c r="C161" s="8" t="s">
        <v>73</v>
      </c>
      <c r="D161" s="8" t="s">
        <v>128</v>
      </c>
      <c r="E161" s="5" t="s">
        <v>344</v>
      </c>
      <c r="F161" s="8" t="s">
        <v>320</v>
      </c>
      <c r="G161" s="8" t="s">
        <v>345</v>
      </c>
      <c r="H161" s="8" t="s">
        <v>346</v>
      </c>
      <c r="I161" s="8" t="s">
        <v>347</v>
      </c>
      <c r="J161" s="8">
        <v>2</v>
      </c>
      <c r="K161" s="8" t="s">
        <v>348</v>
      </c>
    </row>
    <row r="162" spans="1:11" ht="24" customHeight="1">
      <c r="A162" s="8" t="s">
        <v>322</v>
      </c>
      <c r="B162" s="8">
        <v>70</v>
      </c>
      <c r="C162" s="8" t="s">
        <v>73</v>
      </c>
      <c r="D162" s="8" t="s">
        <v>128</v>
      </c>
      <c r="E162" s="5" t="s">
        <v>344</v>
      </c>
      <c r="F162" s="8" t="s">
        <v>323</v>
      </c>
      <c r="G162" s="8" t="s">
        <v>345</v>
      </c>
      <c r="H162" s="8" t="s">
        <v>346</v>
      </c>
      <c r="I162" s="8" t="s">
        <v>347</v>
      </c>
      <c r="J162" s="8">
        <v>2</v>
      </c>
      <c r="K162" s="8" t="s">
        <v>348</v>
      </c>
    </row>
    <row r="163" spans="1:11" ht="24" customHeight="1">
      <c r="A163" s="8" t="s">
        <v>325</v>
      </c>
      <c r="B163" s="8">
        <v>71</v>
      </c>
      <c r="C163" s="8" t="s">
        <v>73</v>
      </c>
      <c r="D163" s="8" t="s">
        <v>128</v>
      </c>
      <c r="E163" s="5" t="s">
        <v>344</v>
      </c>
      <c r="F163" s="8" t="s">
        <v>326</v>
      </c>
      <c r="G163" s="8" t="s">
        <v>345</v>
      </c>
      <c r="H163" s="8" t="s">
        <v>346</v>
      </c>
      <c r="I163" s="8" t="s">
        <v>347</v>
      </c>
      <c r="J163" s="8">
        <v>2</v>
      </c>
      <c r="K163" s="8" t="s">
        <v>348</v>
      </c>
    </row>
    <row r="164" spans="1:11" ht="24" customHeight="1">
      <c r="A164" s="8" t="s">
        <v>328</v>
      </c>
      <c r="B164" s="8">
        <v>72</v>
      </c>
      <c r="C164" s="8" t="s">
        <v>73</v>
      </c>
      <c r="D164" s="8" t="s">
        <v>128</v>
      </c>
      <c r="E164" s="5" t="s">
        <v>344</v>
      </c>
      <c r="F164" s="8" t="s">
        <v>329</v>
      </c>
      <c r="G164" s="8" t="s">
        <v>345</v>
      </c>
      <c r="H164" s="8" t="s">
        <v>346</v>
      </c>
      <c r="I164" s="8" t="s">
        <v>347</v>
      </c>
      <c r="J164" s="8">
        <v>2</v>
      </c>
      <c r="K164" s="8" t="s">
        <v>348</v>
      </c>
    </row>
    <row r="166" spans="1:11" ht="24" customHeight="1">
      <c r="A166" s="1" t="s">
        <v>354</v>
      </c>
    </row>
    <row r="167" spans="1:11" ht="24" customHeight="1">
      <c r="A167" s="2" t="s">
        <v>1</v>
      </c>
      <c r="B167" s="2" t="s">
        <v>355</v>
      </c>
      <c r="C167" s="2" t="s">
        <v>356</v>
      </c>
      <c r="D167" s="2" t="s">
        <v>357</v>
      </c>
      <c r="E167" s="2" t="s">
        <v>358</v>
      </c>
    </row>
    <row r="168" spans="1:11" ht="24" customHeight="1">
      <c r="A168" s="3" t="s">
        <v>6</v>
      </c>
      <c r="B168" s="3" t="s">
        <v>359</v>
      </c>
      <c r="C168" s="3" t="s">
        <v>360</v>
      </c>
      <c r="D168" s="3" t="s">
        <v>361</v>
      </c>
      <c r="E168" s="3"/>
    </row>
    <row r="169" spans="1:11" ht="24" customHeight="1">
      <c r="A169" s="3" t="s">
        <v>7</v>
      </c>
      <c r="B169" s="3" t="s">
        <v>362</v>
      </c>
      <c r="C169" s="3" t="s">
        <v>363</v>
      </c>
      <c r="D169" s="3" t="s">
        <v>364</v>
      </c>
      <c r="E169" s="3"/>
    </row>
    <row r="170" spans="1:11" ht="24" customHeight="1">
      <c r="A170" s="3" t="s">
        <v>8</v>
      </c>
      <c r="B170" s="3" t="s">
        <v>365</v>
      </c>
      <c r="C170" s="3" t="s">
        <v>366</v>
      </c>
      <c r="D170" s="3" t="s">
        <v>367</v>
      </c>
      <c r="E170" s="3" t="s">
        <v>368</v>
      </c>
    </row>
    <row r="171" spans="1:11" ht="24" customHeight="1">
      <c r="A171" s="3" t="s">
        <v>9</v>
      </c>
      <c r="B171" s="3" t="s">
        <v>369</v>
      </c>
      <c r="C171" s="3" t="s">
        <v>370</v>
      </c>
      <c r="D171" s="3" t="s">
        <v>371</v>
      </c>
      <c r="E171" s="3"/>
    </row>
    <row r="172" spans="1:11" ht="24" customHeight="1">
      <c r="A172" s="3" t="s">
        <v>10</v>
      </c>
      <c r="B172" s="3" t="s">
        <v>372</v>
      </c>
      <c r="C172" s="3" t="s">
        <v>373</v>
      </c>
      <c r="D172" s="3" t="s">
        <v>374</v>
      </c>
      <c r="E172" s="3"/>
    </row>
    <row r="173" spans="1:11" ht="24" customHeight="1">
      <c r="A173" s="3" t="s">
        <v>13</v>
      </c>
      <c r="B173" s="3" t="s">
        <v>375</v>
      </c>
      <c r="C173" s="3" t="s">
        <v>376</v>
      </c>
      <c r="D173" s="3" t="s">
        <v>377</v>
      </c>
      <c r="E173" s="3"/>
    </row>
    <row r="174" spans="1:11" ht="24" customHeight="1">
      <c r="A174" s="3" t="s">
        <v>12</v>
      </c>
      <c r="B174" s="3" t="s">
        <v>378</v>
      </c>
      <c r="C174" s="3" t="s">
        <v>379</v>
      </c>
      <c r="D174" s="3" t="s">
        <v>380</v>
      </c>
      <c r="E174" s="3"/>
    </row>
    <row r="175" spans="1:11" ht="24" customHeight="1">
      <c r="A175" s="3" t="s">
        <v>14</v>
      </c>
      <c r="B175" s="3" t="s">
        <v>381</v>
      </c>
      <c r="C175" s="3" t="s">
        <v>382</v>
      </c>
      <c r="D175" s="3" t="s">
        <v>383</v>
      </c>
      <c r="E175" s="3"/>
    </row>
    <row r="176" spans="1:11" ht="24" customHeight="1">
      <c r="A176" s="3" t="s">
        <v>15</v>
      </c>
      <c r="B176" s="3" t="s">
        <v>384</v>
      </c>
      <c r="C176" s="3" t="s">
        <v>385</v>
      </c>
      <c r="D176" s="3" t="s">
        <v>386</v>
      </c>
      <c r="E176" s="3"/>
    </row>
    <row r="177" spans="1:15" ht="24" customHeight="1">
      <c r="A177" s="3" t="s">
        <v>16</v>
      </c>
      <c r="B177" s="3" t="s">
        <v>387</v>
      </c>
      <c r="C177" s="3" t="s">
        <v>388</v>
      </c>
      <c r="D177" s="3" t="s">
        <v>389</v>
      </c>
      <c r="E177" s="3"/>
    </row>
    <row r="178" spans="1:15" ht="24" customHeight="1">
      <c r="A178" s="3" t="s">
        <v>11</v>
      </c>
      <c r="B178" s="3" t="s">
        <v>390</v>
      </c>
      <c r="C178" s="3" t="s">
        <v>391</v>
      </c>
      <c r="D178" s="3" t="s">
        <v>392</v>
      </c>
      <c r="E178" s="3"/>
    </row>
    <row r="179" spans="1:15" ht="24" customHeight="1">
      <c r="A179" s="3" t="s">
        <v>17</v>
      </c>
      <c r="B179" s="3" t="s">
        <v>393</v>
      </c>
      <c r="C179" s="3" t="s">
        <v>394</v>
      </c>
      <c r="D179" s="3" t="s">
        <v>395</v>
      </c>
      <c r="E179" s="3"/>
    </row>
    <row r="181" spans="1:15" ht="24" customHeight="1">
      <c r="A181" s="1" t="s">
        <v>396</v>
      </c>
    </row>
    <row r="182" spans="1:15" ht="24" customHeight="1">
      <c r="A182" s="2" t="s">
        <v>397</v>
      </c>
      <c r="B182" s="2" t="s">
        <v>398</v>
      </c>
      <c r="C182" s="2" t="s">
        <v>399</v>
      </c>
      <c r="D182" s="2" t="s">
        <v>400</v>
      </c>
      <c r="E182" s="2" t="s">
        <v>401</v>
      </c>
      <c r="F182" s="2" t="s">
        <v>402</v>
      </c>
      <c r="G182" s="2" t="s">
        <v>403</v>
      </c>
      <c r="H182" s="2" t="s">
        <v>404</v>
      </c>
      <c r="I182" s="2" t="s">
        <v>31</v>
      </c>
      <c r="J182" s="2" t="s">
        <v>405</v>
      </c>
      <c r="K182" s="2" t="s">
        <v>27</v>
      </c>
      <c r="L182" s="2" t="s">
        <v>35</v>
      </c>
    </row>
    <row r="183" spans="1:15" ht="24" customHeight="1">
      <c r="A183" s="3" t="s">
        <v>406</v>
      </c>
      <c r="B183" s="3" t="s">
        <v>134</v>
      </c>
      <c r="C183" s="3" t="s">
        <v>407</v>
      </c>
      <c r="D183" s="3" t="s">
        <v>408</v>
      </c>
      <c r="E183" s="3" t="s">
        <v>409</v>
      </c>
      <c r="F183" s="3" t="s">
        <v>410</v>
      </c>
      <c r="G183" s="3" t="s">
        <v>411</v>
      </c>
      <c r="H183" s="3" t="s">
        <v>412</v>
      </c>
      <c r="I183" s="3" t="s">
        <v>344</v>
      </c>
      <c r="J183" s="3"/>
      <c r="K183" s="3"/>
      <c r="L183" s="3"/>
    </row>
    <row r="184" spans="1:15" ht="24" customHeight="1">
      <c r="A184" s="3" t="s">
        <v>413</v>
      </c>
      <c r="B184" s="3" t="s">
        <v>414</v>
      </c>
      <c r="C184" s="3" t="s">
        <v>407</v>
      </c>
      <c r="D184" s="3" t="s">
        <v>415</v>
      </c>
      <c r="E184" s="3" t="s">
        <v>416</v>
      </c>
      <c r="F184" s="3" t="s">
        <v>417</v>
      </c>
      <c r="G184" s="3" t="s">
        <v>418</v>
      </c>
      <c r="H184" s="3" t="s">
        <v>419</v>
      </c>
      <c r="I184" s="3" t="s">
        <v>344</v>
      </c>
      <c r="J184" s="3"/>
      <c r="K184" s="3"/>
      <c r="L184" s="3"/>
    </row>
    <row r="185" spans="1:15" ht="24" customHeight="1">
      <c r="A185" s="3" t="s">
        <v>420</v>
      </c>
      <c r="B185" s="3" t="s">
        <v>421</v>
      </c>
      <c r="C185" s="3" t="s">
        <v>407</v>
      </c>
      <c r="D185" s="3" t="s">
        <v>255</v>
      </c>
      <c r="E185" s="3" t="s">
        <v>422</v>
      </c>
      <c r="F185" s="3" t="s">
        <v>423</v>
      </c>
      <c r="G185" s="3" t="s">
        <v>424</v>
      </c>
      <c r="H185" s="3" t="s">
        <v>425</v>
      </c>
      <c r="I185" s="3" t="s">
        <v>344</v>
      </c>
      <c r="J185" s="3"/>
      <c r="K185" s="3"/>
      <c r="L185" s="3"/>
    </row>
    <row r="186" spans="1:15" ht="24" customHeight="1">
      <c r="A186" s="3" t="s">
        <v>426</v>
      </c>
      <c r="B186" s="3" t="s">
        <v>421</v>
      </c>
      <c r="C186" s="3" t="s">
        <v>427</v>
      </c>
      <c r="D186" s="3" t="s">
        <v>408</v>
      </c>
      <c r="E186" s="3" t="s">
        <v>422</v>
      </c>
      <c r="F186" s="3" t="s">
        <v>428</v>
      </c>
      <c r="G186" s="3" t="s">
        <v>429</v>
      </c>
      <c r="H186" s="3" t="s">
        <v>430</v>
      </c>
      <c r="I186" s="3" t="s">
        <v>344</v>
      </c>
      <c r="J186" s="3"/>
      <c r="K186" s="3"/>
      <c r="L186" s="3" t="s">
        <v>431</v>
      </c>
    </row>
    <row r="188" spans="1:15" ht="24" customHeight="1">
      <c r="A188" s="1" t="s">
        <v>432</v>
      </c>
    </row>
    <row r="189" spans="1:15" ht="24" customHeight="1">
      <c r="A189" s="2" t="s">
        <v>433</v>
      </c>
      <c r="B189" s="2" t="s">
        <v>434</v>
      </c>
      <c r="C189" s="2" t="s">
        <v>435</v>
      </c>
      <c r="D189" s="2" t="s">
        <v>277</v>
      </c>
      <c r="E189" s="2" t="s">
        <v>436</v>
      </c>
      <c r="F189" s="2" t="s">
        <v>437</v>
      </c>
      <c r="G189" s="2" t="s">
        <v>438</v>
      </c>
      <c r="H189" s="2" t="s">
        <v>439</v>
      </c>
      <c r="I189" s="2" t="s">
        <v>440</v>
      </c>
      <c r="J189" s="2" t="s">
        <v>32</v>
      </c>
      <c r="K189" s="2" t="s">
        <v>441</v>
      </c>
      <c r="L189" s="2" t="s">
        <v>442</v>
      </c>
      <c r="M189" s="2" t="s">
        <v>102</v>
      </c>
      <c r="N189" s="2" t="s">
        <v>443</v>
      </c>
      <c r="O189" s="2" t="s">
        <v>35</v>
      </c>
    </row>
    <row r="190" spans="1:15" ht="24" customHeight="1">
      <c r="A190" s="3" t="s">
        <v>444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24" customHeight="1">
      <c r="A191" s="3" t="s">
        <v>445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24" customHeight="1">
      <c r="A192" s="3" t="s">
        <v>446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24" customHeight="1">
      <c r="A193" s="3" t="s">
        <v>447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24" customHeight="1">
      <c r="A194" s="3" t="s">
        <v>448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24" customHeight="1">
      <c r="A195" s="3" t="s">
        <v>446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24" customHeight="1">
      <c r="A196" s="3" t="s">
        <v>449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24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24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24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24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24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24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24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24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24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7" spans="1:15" ht="24" customHeight="1">
      <c r="A207" s="1" t="s">
        <v>450</v>
      </c>
    </row>
    <row r="208" spans="1:15" ht="24" customHeight="1">
      <c r="A208" s="2" t="s">
        <v>451</v>
      </c>
      <c r="B208" s="2" t="s">
        <v>452</v>
      </c>
      <c r="C208" s="2" t="s">
        <v>453</v>
      </c>
      <c r="D208" s="2" t="s">
        <v>27</v>
      </c>
      <c r="E208" s="2" t="s">
        <v>31</v>
      </c>
      <c r="F208" s="2" t="s">
        <v>33</v>
      </c>
      <c r="G208" s="2" t="s">
        <v>35</v>
      </c>
    </row>
    <row r="209" spans="1:8" ht="24" customHeight="1">
      <c r="A209" s="3" t="s">
        <v>41</v>
      </c>
      <c r="B209" s="3" t="s">
        <v>454</v>
      </c>
      <c r="C209" s="3" t="s">
        <v>455</v>
      </c>
      <c r="D209" s="3"/>
      <c r="E209" s="3" t="s">
        <v>344</v>
      </c>
      <c r="F209" s="3"/>
      <c r="G209" s="3"/>
    </row>
    <row r="210" spans="1:8" ht="24" customHeight="1">
      <c r="A210" s="3" t="s">
        <v>41</v>
      </c>
      <c r="B210" s="3" t="s">
        <v>456</v>
      </c>
      <c r="C210" s="3" t="s">
        <v>457</v>
      </c>
      <c r="D210" s="3"/>
      <c r="E210" s="3" t="s">
        <v>344</v>
      </c>
      <c r="F210" s="3"/>
      <c r="G210" s="3"/>
    </row>
    <row r="211" spans="1:8" ht="24" customHeight="1">
      <c r="A211" s="3" t="s">
        <v>458</v>
      </c>
      <c r="B211" s="3" t="s">
        <v>62</v>
      </c>
      <c r="C211" s="3" t="s">
        <v>459</v>
      </c>
      <c r="D211" s="3"/>
      <c r="E211" s="3" t="s">
        <v>344</v>
      </c>
      <c r="F211" s="3"/>
      <c r="G211" s="3"/>
    </row>
    <row r="212" spans="1:8" ht="24" customHeight="1">
      <c r="A212" s="3" t="s">
        <v>458</v>
      </c>
      <c r="B212" s="3" t="s">
        <v>460</v>
      </c>
      <c r="C212" s="3" t="s">
        <v>461</v>
      </c>
      <c r="D212" s="3"/>
      <c r="E212" s="3" t="s">
        <v>344</v>
      </c>
      <c r="F212" s="3"/>
      <c r="G212" s="3"/>
    </row>
    <row r="213" spans="1:8" ht="24" customHeight="1">
      <c r="A213" s="3" t="s">
        <v>74</v>
      </c>
      <c r="B213" s="3" t="s">
        <v>462</v>
      </c>
      <c r="C213" s="3" t="s">
        <v>463</v>
      </c>
      <c r="D213" s="3"/>
      <c r="E213" s="3" t="s">
        <v>344</v>
      </c>
      <c r="F213" s="3"/>
      <c r="G213" s="3"/>
    </row>
    <row r="214" spans="1:8" ht="24" customHeight="1">
      <c r="A214" s="3" t="s">
        <v>83</v>
      </c>
      <c r="B214" s="3" t="s">
        <v>79</v>
      </c>
      <c r="C214" s="3" t="s">
        <v>464</v>
      </c>
      <c r="D214" s="3"/>
      <c r="E214" s="3" t="s">
        <v>344</v>
      </c>
      <c r="F214" s="3"/>
      <c r="G214" s="3"/>
    </row>
    <row r="216" spans="1:8" ht="24" customHeight="1">
      <c r="A216" s="1" t="s">
        <v>465</v>
      </c>
    </row>
    <row r="217" spans="1:8" ht="24" customHeight="1">
      <c r="A217" s="2" t="s">
        <v>466</v>
      </c>
      <c r="B217" s="2" t="s">
        <v>467</v>
      </c>
      <c r="C217" s="2" t="s">
        <v>468</v>
      </c>
      <c r="D217" s="2" t="s">
        <v>469</v>
      </c>
      <c r="E217" s="2" t="s">
        <v>219</v>
      </c>
      <c r="F217" s="2" t="s">
        <v>223</v>
      </c>
      <c r="G217" s="2" t="s">
        <v>470</v>
      </c>
      <c r="H217" s="2" t="s">
        <v>35</v>
      </c>
    </row>
    <row r="218" spans="1:8" ht="24" customHeight="1">
      <c r="A218" s="3" t="s">
        <v>471</v>
      </c>
      <c r="B218" s="3" t="s">
        <v>472</v>
      </c>
      <c r="C218" s="3" t="s">
        <v>473</v>
      </c>
      <c r="D218" s="3" t="s">
        <v>474</v>
      </c>
      <c r="E218" s="3" t="s">
        <v>475</v>
      </c>
      <c r="F218" s="3" t="s">
        <v>475</v>
      </c>
      <c r="G218" s="3" t="s">
        <v>44</v>
      </c>
      <c r="H218" s="3"/>
    </row>
    <row r="219" spans="1:8" ht="24" customHeight="1">
      <c r="A219" s="3" t="s">
        <v>476</v>
      </c>
      <c r="B219" s="3" t="s">
        <v>477</v>
      </c>
      <c r="C219" s="3" t="s">
        <v>473</v>
      </c>
      <c r="D219" s="3" t="s">
        <v>478</v>
      </c>
      <c r="E219" s="3" t="s">
        <v>475</v>
      </c>
      <c r="F219" s="3" t="s">
        <v>475</v>
      </c>
      <c r="G219" s="3" t="s">
        <v>44</v>
      </c>
      <c r="H219" s="3"/>
    </row>
    <row r="220" spans="1:8" ht="24" customHeight="1">
      <c r="A220" s="3" t="s">
        <v>479</v>
      </c>
      <c r="B220" s="3" t="s">
        <v>480</v>
      </c>
      <c r="C220" s="3" t="s">
        <v>473</v>
      </c>
      <c r="D220" s="3" t="s">
        <v>481</v>
      </c>
      <c r="E220" s="3" t="s">
        <v>475</v>
      </c>
      <c r="F220" s="3" t="s">
        <v>475</v>
      </c>
      <c r="G220" s="3" t="s">
        <v>69</v>
      </c>
      <c r="H220" s="3"/>
    </row>
    <row r="221" spans="1:8" ht="24" customHeight="1">
      <c r="A221" s="3" t="s">
        <v>482</v>
      </c>
      <c r="B221" s="3" t="s">
        <v>483</v>
      </c>
      <c r="C221" s="3" t="s">
        <v>473</v>
      </c>
      <c r="D221" s="3" t="s">
        <v>484</v>
      </c>
      <c r="E221" s="3" t="s">
        <v>475</v>
      </c>
      <c r="F221" s="3" t="s">
        <v>475</v>
      </c>
      <c r="G221" s="3" t="s">
        <v>69</v>
      </c>
      <c r="H221" s="3"/>
    </row>
    <row r="222" spans="1:8" ht="24" customHeight="1">
      <c r="A222" s="3" t="s">
        <v>485</v>
      </c>
      <c r="B222" s="3" t="s">
        <v>486</v>
      </c>
      <c r="C222" s="3" t="s">
        <v>473</v>
      </c>
      <c r="D222" s="3" t="s">
        <v>487</v>
      </c>
      <c r="E222" s="3" t="s">
        <v>475</v>
      </c>
      <c r="F222" s="3" t="s">
        <v>475</v>
      </c>
      <c r="G222" s="3" t="s">
        <v>44</v>
      </c>
      <c r="H222" s="3"/>
    </row>
    <row r="223" spans="1:8" ht="24" customHeight="1">
      <c r="A223" s="3" t="s">
        <v>488</v>
      </c>
      <c r="B223" s="3" t="s">
        <v>489</v>
      </c>
      <c r="C223" s="3" t="s">
        <v>473</v>
      </c>
      <c r="D223" s="3" t="s">
        <v>490</v>
      </c>
      <c r="E223" s="3" t="s">
        <v>475</v>
      </c>
      <c r="F223" s="3" t="s">
        <v>475</v>
      </c>
      <c r="G223" s="3" t="s">
        <v>44</v>
      </c>
      <c r="H223" s="3"/>
    </row>
    <row r="224" spans="1:8" ht="24" customHeight="1">
      <c r="A224" s="3" t="s">
        <v>491</v>
      </c>
      <c r="B224" s="3" t="s">
        <v>492</v>
      </c>
      <c r="C224" s="3" t="s">
        <v>473</v>
      </c>
      <c r="D224" s="3" t="s">
        <v>490</v>
      </c>
      <c r="E224" s="3" t="s">
        <v>475</v>
      </c>
      <c r="F224" s="3" t="s">
        <v>475</v>
      </c>
      <c r="G224" s="3" t="s">
        <v>44</v>
      </c>
      <c r="H224" s="3"/>
    </row>
    <row r="225" spans="1:8" ht="24" customHeight="1">
      <c r="A225" s="3" t="s">
        <v>493</v>
      </c>
      <c r="B225" s="3" t="s">
        <v>494</v>
      </c>
      <c r="C225" s="3" t="s">
        <v>473</v>
      </c>
      <c r="D225" s="3" t="s">
        <v>495</v>
      </c>
      <c r="E225" s="3" t="s">
        <v>475</v>
      </c>
      <c r="F225" s="3" t="s">
        <v>475</v>
      </c>
      <c r="G225" s="3" t="s">
        <v>69</v>
      </c>
      <c r="H225" s="3"/>
    </row>
    <row r="227" spans="1:8" ht="24" customHeight="1">
      <c r="A227" s="1" t="s">
        <v>496</v>
      </c>
    </row>
    <row r="228" spans="1:8" ht="24" customHeight="1">
      <c r="A228" s="2" t="s">
        <v>497</v>
      </c>
      <c r="B228" s="2" t="s">
        <v>498</v>
      </c>
      <c r="C228" s="2" t="s">
        <v>27</v>
      </c>
      <c r="D228" s="2" t="s">
        <v>3</v>
      </c>
      <c r="E228" s="2" t="s">
        <v>35</v>
      </c>
    </row>
    <row r="229" spans="1:8" ht="24" customHeight="1">
      <c r="A229" s="3" t="s">
        <v>41</v>
      </c>
      <c r="B229" s="3" t="s">
        <v>499</v>
      </c>
      <c r="C229" s="3"/>
      <c r="D229" s="3" t="b">
        <v>0</v>
      </c>
      <c r="E229" s="3"/>
    </row>
    <row r="230" spans="1:8" ht="24" customHeight="1">
      <c r="A230" s="3" t="s">
        <v>500</v>
      </c>
      <c r="B230" s="3" t="s">
        <v>501</v>
      </c>
      <c r="C230" s="3"/>
      <c r="D230" s="3" t="b">
        <v>0</v>
      </c>
      <c r="E230" s="3"/>
    </row>
    <row r="231" spans="1:8" ht="24" customHeight="1">
      <c r="A231" s="3" t="s">
        <v>502</v>
      </c>
      <c r="B231" s="3" t="s">
        <v>503</v>
      </c>
      <c r="C231" s="3"/>
      <c r="D231" s="3" t="b">
        <v>0</v>
      </c>
      <c r="E231" s="3"/>
    </row>
    <row r="232" spans="1:8" ht="24" customHeight="1">
      <c r="A232" s="3" t="s">
        <v>504</v>
      </c>
      <c r="B232" s="3" t="s">
        <v>505</v>
      </c>
      <c r="C232" s="3"/>
      <c r="D232" s="3" t="b">
        <v>0</v>
      </c>
      <c r="E232" s="3"/>
    </row>
    <row r="233" spans="1:8" ht="24" customHeight="1">
      <c r="A233" s="3" t="s">
        <v>506</v>
      </c>
      <c r="B233" s="3" t="s">
        <v>507</v>
      </c>
      <c r="C233" s="3"/>
      <c r="D233" s="3" t="b">
        <v>0</v>
      </c>
      <c r="E233" s="3"/>
    </row>
    <row r="234" spans="1:8" ht="24" customHeight="1">
      <c r="A234" s="3" t="s">
        <v>506</v>
      </c>
      <c r="B234" s="3" t="s">
        <v>508</v>
      </c>
      <c r="C234" s="3"/>
      <c r="D234" s="3" t="b">
        <v>0</v>
      </c>
      <c r="E234" s="3"/>
    </row>
    <row r="235" spans="1:8" ht="24" customHeight="1">
      <c r="A235" s="3" t="s">
        <v>509</v>
      </c>
      <c r="B235" s="3" t="s">
        <v>510</v>
      </c>
      <c r="C235" s="3"/>
      <c r="D235" s="3" t="b">
        <v>0</v>
      </c>
      <c r="E235" s="3"/>
    </row>
    <row r="236" spans="1:8" ht="24" customHeight="1">
      <c r="A236" s="3" t="s">
        <v>511</v>
      </c>
      <c r="B236" s="3" t="s">
        <v>512</v>
      </c>
      <c r="C236" s="3"/>
      <c r="D236" s="3" t="b">
        <v>0</v>
      </c>
      <c r="E236" s="3"/>
    </row>
    <row r="238" spans="1:8" ht="24" customHeight="1">
      <c r="A238" s="1" t="s">
        <v>513</v>
      </c>
    </row>
    <row r="240" spans="1:8" ht="24" customHeight="1">
      <c r="A240" s="4" t="s">
        <v>1</v>
      </c>
      <c r="B240" s="4" t="s">
        <v>355</v>
      </c>
      <c r="C240" s="4" t="s">
        <v>356</v>
      </c>
      <c r="D240" s="4" t="s">
        <v>357</v>
      </c>
      <c r="E240" s="4" t="s">
        <v>358</v>
      </c>
    </row>
    <row r="241" spans="1:6" ht="24" customHeight="1">
      <c r="A241" s="8" t="s">
        <v>6</v>
      </c>
      <c r="B241" s="5" t="s">
        <v>514</v>
      </c>
      <c r="C241" s="5" t="s">
        <v>515</v>
      </c>
      <c r="D241" s="5" t="s">
        <v>361</v>
      </c>
      <c r="E241" s="8" t="s">
        <v>516</v>
      </c>
    </row>
    <row r="242" spans="1:6" ht="24" customHeight="1">
      <c r="A242" s="8" t="s">
        <v>7</v>
      </c>
      <c r="B242" s="5" t="s">
        <v>517</v>
      </c>
      <c r="C242" s="5" t="s">
        <v>518</v>
      </c>
      <c r="D242" s="5" t="s">
        <v>519</v>
      </c>
      <c r="E242" s="8" t="s">
        <v>520</v>
      </c>
    </row>
    <row r="243" spans="1:6" ht="24" customHeight="1">
      <c r="A243" s="8" t="s">
        <v>8</v>
      </c>
      <c r="B243" s="5" t="s">
        <v>521</v>
      </c>
      <c r="C243" s="5" t="s">
        <v>522</v>
      </c>
      <c r="D243" s="5" t="s">
        <v>523</v>
      </c>
      <c r="E243" s="8" t="s">
        <v>524</v>
      </c>
    </row>
    <row r="244" spans="1:6" ht="24" customHeight="1">
      <c r="A244" s="8" t="s">
        <v>9</v>
      </c>
      <c r="B244" s="5" t="s">
        <v>525</v>
      </c>
      <c r="C244" s="5" t="s">
        <v>526</v>
      </c>
      <c r="D244" s="5" t="s">
        <v>527</v>
      </c>
      <c r="E244" s="8" t="s">
        <v>528</v>
      </c>
    </row>
    <row r="245" spans="1:6" ht="24" customHeight="1">
      <c r="A245" s="8" t="s">
        <v>10</v>
      </c>
      <c r="B245" s="5" t="s">
        <v>529</v>
      </c>
      <c r="C245" s="5" t="s">
        <v>530</v>
      </c>
      <c r="D245" s="5" t="s">
        <v>531</v>
      </c>
      <c r="E245" s="8" t="s">
        <v>532</v>
      </c>
    </row>
    <row r="246" spans="1:6" ht="24" customHeight="1">
      <c r="A246" s="8" t="s">
        <v>13</v>
      </c>
      <c r="B246" s="5" t="s">
        <v>533</v>
      </c>
      <c r="C246" s="5" t="s">
        <v>376</v>
      </c>
      <c r="D246" s="5" t="s">
        <v>534</v>
      </c>
      <c r="E246" s="8" t="s">
        <v>535</v>
      </c>
    </row>
    <row r="247" spans="1:6" ht="24" customHeight="1">
      <c r="A247" s="8" t="s">
        <v>12</v>
      </c>
      <c r="B247" s="8" t="s">
        <v>536</v>
      </c>
      <c r="C247" s="8" t="s">
        <v>537</v>
      </c>
      <c r="D247" s="8" t="s">
        <v>538</v>
      </c>
      <c r="E247" s="8" t="s">
        <v>539</v>
      </c>
    </row>
    <row r="248" spans="1:6" ht="24" customHeight="1">
      <c r="A248" s="8" t="s">
        <v>14</v>
      </c>
      <c r="B248" s="8" t="s">
        <v>540</v>
      </c>
      <c r="C248" s="8" t="s">
        <v>541</v>
      </c>
      <c r="D248" s="8" t="s">
        <v>542</v>
      </c>
      <c r="E248" s="8" t="s">
        <v>543</v>
      </c>
    </row>
    <row r="249" spans="1:6" ht="24" customHeight="1">
      <c r="A249" s="8" t="s">
        <v>15</v>
      </c>
      <c r="B249" s="8" t="s">
        <v>544</v>
      </c>
      <c r="C249" s="8" t="s">
        <v>545</v>
      </c>
      <c r="D249" s="8" t="s">
        <v>546</v>
      </c>
      <c r="E249" s="8" t="s">
        <v>547</v>
      </c>
    </row>
    <row r="250" spans="1:6" ht="24" customHeight="1">
      <c r="A250" s="8" t="s">
        <v>548</v>
      </c>
      <c r="B250" s="8" t="s">
        <v>549</v>
      </c>
      <c r="C250" s="8" t="s">
        <v>550</v>
      </c>
      <c r="D250" s="8" t="s">
        <v>389</v>
      </c>
      <c r="E250" s="8" t="s">
        <v>551</v>
      </c>
    </row>
    <row r="251" spans="1:6" ht="24" customHeight="1">
      <c r="A251" s="8" t="s">
        <v>552</v>
      </c>
      <c r="B251" s="8" t="s">
        <v>553</v>
      </c>
      <c r="C251" s="8" t="s">
        <v>554</v>
      </c>
      <c r="D251" s="8" t="s">
        <v>392</v>
      </c>
      <c r="E251" s="8" t="s">
        <v>555</v>
      </c>
    </row>
    <row r="252" spans="1:6" ht="24" customHeight="1">
      <c r="A252" s="8" t="s">
        <v>17</v>
      </c>
      <c r="B252" s="8" t="s">
        <v>556</v>
      </c>
      <c r="C252" s="8" t="s">
        <v>557</v>
      </c>
      <c r="D252" s="8" t="s">
        <v>558</v>
      </c>
      <c r="E252" s="8" t="s">
        <v>559</v>
      </c>
    </row>
    <row r="255" spans="1:6" ht="24" customHeight="1">
      <c r="A255" s="1" t="s">
        <v>560</v>
      </c>
    </row>
    <row r="256" spans="1:6" ht="24" customHeight="1">
      <c r="A256" s="9" t="s">
        <v>561</v>
      </c>
      <c r="B256" s="9" t="s">
        <v>562</v>
      </c>
      <c r="C256" s="9" t="s">
        <v>563</v>
      </c>
      <c r="D256" s="9" t="s">
        <v>564</v>
      </c>
      <c r="E256" s="9" t="s">
        <v>565</v>
      </c>
      <c r="F256" s="4" t="s">
        <v>566</v>
      </c>
    </row>
    <row r="257" spans="1:6" ht="24" customHeight="1">
      <c r="A257" s="3" t="s">
        <v>567</v>
      </c>
      <c r="B257" s="3" t="s">
        <v>89</v>
      </c>
      <c r="C257" s="3" t="s">
        <v>568</v>
      </c>
      <c r="D257" s="3" t="s">
        <v>569</v>
      </c>
      <c r="E257" s="3" t="s">
        <v>570</v>
      </c>
      <c r="F257" s="6" t="s">
        <v>571</v>
      </c>
    </row>
    <row r="258" spans="1:6" ht="24" customHeight="1">
      <c r="A258" s="3" t="s">
        <v>572</v>
      </c>
      <c r="B258" s="3" t="s">
        <v>89</v>
      </c>
      <c r="C258" s="3" t="s">
        <v>573</v>
      </c>
      <c r="D258" s="3" t="s">
        <v>574</v>
      </c>
      <c r="E258" s="3" t="s">
        <v>575</v>
      </c>
      <c r="F258" s="6"/>
    </row>
    <row r="259" spans="1:6" ht="24" customHeight="1">
      <c r="A259" s="3" t="s">
        <v>576</v>
      </c>
      <c r="B259" s="3" t="s">
        <v>577</v>
      </c>
      <c r="C259" s="3" t="s">
        <v>578</v>
      </c>
      <c r="D259" s="3" t="s">
        <v>579</v>
      </c>
      <c r="E259" s="3" t="s">
        <v>580</v>
      </c>
      <c r="F259" s="6" t="s">
        <v>581</v>
      </c>
    </row>
    <row r="260" spans="1:6" ht="24" customHeight="1">
      <c r="A260" s="3" t="s">
        <v>582</v>
      </c>
      <c r="B260" s="3" t="s">
        <v>39</v>
      </c>
      <c r="C260" s="3" t="s">
        <v>583</v>
      </c>
      <c r="D260" s="3" t="s">
        <v>584</v>
      </c>
      <c r="E260" s="3" t="s">
        <v>585</v>
      </c>
      <c r="F260" s="6" t="s">
        <v>586</v>
      </c>
    </row>
    <row r="261" spans="1:6" ht="24" customHeight="1">
      <c r="A261" s="3" t="s">
        <v>587</v>
      </c>
      <c r="B261" s="3" t="s">
        <v>39</v>
      </c>
      <c r="C261" s="3" t="s">
        <v>588</v>
      </c>
      <c r="D261" s="3" t="s">
        <v>589</v>
      </c>
      <c r="E261" s="3" t="s">
        <v>590</v>
      </c>
      <c r="F261" s="6"/>
    </row>
    <row r="262" spans="1:6" ht="24" customHeight="1">
      <c r="A262" s="3" t="s">
        <v>591</v>
      </c>
      <c r="B262" s="3" t="s">
        <v>39</v>
      </c>
      <c r="C262" s="3" t="s">
        <v>592</v>
      </c>
      <c r="D262" s="3" t="s">
        <v>593</v>
      </c>
      <c r="E262" s="3" t="s">
        <v>594</v>
      </c>
      <c r="F262" s="6" t="s">
        <v>595</v>
      </c>
    </row>
    <row r="263" spans="1:6" ht="24" customHeight="1">
      <c r="A263" s="3" t="s">
        <v>596</v>
      </c>
      <c r="B263" s="3" t="s">
        <v>39</v>
      </c>
      <c r="C263" s="3" t="s">
        <v>597</v>
      </c>
      <c r="D263" s="3" t="s">
        <v>598</v>
      </c>
      <c r="E263" s="3" t="s">
        <v>599</v>
      </c>
      <c r="F263" s="6"/>
    </row>
    <row r="265" spans="1:6" ht="24" customHeight="1">
      <c r="A265" s="1" t="s">
        <v>600</v>
      </c>
    </row>
    <row r="266" spans="1:6" ht="24" customHeight="1">
      <c r="A266" s="10" t="s">
        <v>601</v>
      </c>
    </row>
    <row r="267" spans="1:6" ht="24" customHeight="1">
      <c r="A267" s="10" t="s">
        <v>602</v>
      </c>
    </row>
    <row r="268" spans="1:6" ht="24" customHeight="1">
      <c r="A268" s="11" t="s">
        <v>603</v>
      </c>
    </row>
    <row r="269" spans="1:6" ht="24" customHeight="1">
      <c r="A269" s="11" t="s">
        <v>604</v>
      </c>
    </row>
    <row r="270" spans="1:6" ht="24" customHeight="1">
      <c r="A270" s="11" t="s">
        <v>605</v>
      </c>
    </row>
    <row r="271" spans="1:6" ht="24" customHeight="1">
      <c r="A271" s="11" t="s">
        <v>604</v>
      </c>
    </row>
    <row r="272" spans="1:6" ht="24" customHeight="1">
      <c r="A272" s="11" t="s">
        <v>606</v>
      </c>
    </row>
    <row r="273" spans="1:2" ht="24" customHeight="1">
      <c r="A273" s="11" t="s">
        <v>604</v>
      </c>
    </row>
    <row r="274" spans="1:2" ht="24" customHeight="1">
      <c r="A274" s="11" t="s">
        <v>607</v>
      </c>
    </row>
    <row r="275" spans="1:2" ht="24" customHeight="1">
      <c r="A275" s="11" t="s">
        <v>604</v>
      </c>
    </row>
    <row r="276" spans="1:2" ht="24" customHeight="1">
      <c r="A276" s="11" t="s">
        <v>608</v>
      </c>
    </row>
    <row r="277" spans="1:2" ht="24" customHeight="1">
      <c r="A277" s="11" t="s">
        <v>604</v>
      </c>
    </row>
    <row r="278" spans="1:2" ht="24" customHeight="1">
      <c r="A278" s="11" t="s">
        <v>609</v>
      </c>
    </row>
    <row r="279" spans="1:2" ht="24" customHeight="1">
      <c r="A279" s="11" t="s">
        <v>604</v>
      </c>
    </row>
    <row r="280" spans="1:2" ht="24" customHeight="1">
      <c r="A280" s="11" t="s">
        <v>610</v>
      </c>
    </row>
    <row r="282" spans="1:2" ht="24" customHeight="1">
      <c r="A282" s="10" t="s">
        <v>611</v>
      </c>
    </row>
    <row r="283" spans="1:2" ht="24" customHeight="1">
      <c r="A283" s="12" t="s">
        <v>612</v>
      </c>
      <c r="B283" s="12" t="s">
        <v>613</v>
      </c>
    </row>
    <row r="284" spans="1:2" ht="24" customHeight="1">
      <c r="A284" s="3" t="s">
        <v>614</v>
      </c>
      <c r="B284" s="3" t="s">
        <v>615</v>
      </c>
    </row>
    <row r="285" spans="1:2" ht="24" customHeight="1">
      <c r="A285" s="3" t="s">
        <v>616</v>
      </c>
      <c r="B285" s="3" t="s">
        <v>617</v>
      </c>
    </row>
    <row r="286" spans="1:2" ht="24" customHeight="1">
      <c r="A286" s="3" t="s">
        <v>564</v>
      </c>
      <c r="B286" s="3" t="s">
        <v>618</v>
      </c>
    </row>
    <row r="287" spans="1:2" ht="24" customHeight="1">
      <c r="A287" s="3" t="s">
        <v>619</v>
      </c>
      <c r="B287" s="3" t="s">
        <v>620</v>
      </c>
    </row>
    <row r="288" spans="1:2" ht="24" customHeight="1">
      <c r="A288" s="1" t="s">
        <v>621</v>
      </c>
    </row>
    <row r="290" spans="1:2" ht="24" customHeight="1">
      <c r="A290" s="10" t="s">
        <v>622</v>
      </c>
    </row>
    <row r="291" spans="1:2" ht="24" customHeight="1">
      <c r="A291" s="12" t="s">
        <v>612</v>
      </c>
      <c r="B291" s="12" t="s">
        <v>613</v>
      </c>
    </row>
    <row r="292" spans="1:2" ht="24" customHeight="1">
      <c r="A292" s="3" t="s">
        <v>614</v>
      </c>
      <c r="B292" s="3" t="s">
        <v>623</v>
      </c>
    </row>
    <row r="293" spans="1:2" ht="24" customHeight="1">
      <c r="A293" s="3" t="s">
        <v>616</v>
      </c>
      <c r="B293" s="3" t="s">
        <v>624</v>
      </c>
    </row>
    <row r="294" spans="1:2" ht="24" customHeight="1">
      <c r="A294" s="3" t="s">
        <v>564</v>
      </c>
      <c r="B294" s="3" t="s">
        <v>625</v>
      </c>
    </row>
    <row r="295" spans="1:2" ht="24" customHeight="1">
      <c r="A295" s="3" t="s">
        <v>619</v>
      </c>
      <c r="B295" s="3" t="s">
        <v>626</v>
      </c>
    </row>
    <row r="296" spans="1:2" ht="24" customHeight="1">
      <c r="A296" s="1" t="s">
        <v>627</v>
      </c>
    </row>
    <row r="298" spans="1:2" ht="24" customHeight="1">
      <c r="A298" s="10" t="s">
        <v>628</v>
      </c>
    </row>
    <row r="299" spans="1:2" ht="24" customHeight="1">
      <c r="A299" s="12" t="s">
        <v>612</v>
      </c>
      <c r="B299" s="12" t="s">
        <v>613</v>
      </c>
    </row>
    <row r="300" spans="1:2" ht="24" customHeight="1">
      <c r="A300" s="3" t="s">
        <v>614</v>
      </c>
      <c r="B300" s="3" t="s">
        <v>629</v>
      </c>
    </row>
    <row r="301" spans="1:2" ht="24" customHeight="1">
      <c r="A301" s="3" t="s">
        <v>630</v>
      </c>
      <c r="B301" s="3" t="s">
        <v>631</v>
      </c>
    </row>
    <row r="302" spans="1:2" ht="24" customHeight="1">
      <c r="A302" s="3" t="s">
        <v>564</v>
      </c>
      <c r="B302" s="3" t="s">
        <v>632</v>
      </c>
    </row>
    <row r="303" spans="1:2" ht="24" customHeight="1">
      <c r="A303" s="3" t="s">
        <v>619</v>
      </c>
      <c r="B303" s="3" t="s">
        <v>633</v>
      </c>
    </row>
    <row r="304" spans="1:2" ht="24" customHeight="1">
      <c r="A304" s="1" t="s">
        <v>634</v>
      </c>
    </row>
    <row r="306" spans="1:2" ht="24" customHeight="1">
      <c r="A306" s="10" t="s">
        <v>635</v>
      </c>
    </row>
    <row r="307" spans="1:2" ht="24" customHeight="1">
      <c r="A307" s="12" t="s">
        <v>612</v>
      </c>
      <c r="B307" s="12" t="s">
        <v>613</v>
      </c>
    </row>
    <row r="308" spans="1:2" ht="24" customHeight="1">
      <c r="A308" s="3" t="s">
        <v>614</v>
      </c>
      <c r="B308" s="3" t="s">
        <v>636</v>
      </c>
    </row>
    <row r="309" spans="1:2" ht="24" customHeight="1">
      <c r="A309" s="3" t="s">
        <v>630</v>
      </c>
      <c r="B309" s="3" t="s">
        <v>637</v>
      </c>
    </row>
    <row r="310" spans="1:2" ht="24" customHeight="1">
      <c r="A310" s="3" t="s">
        <v>564</v>
      </c>
      <c r="B310" s="3" t="s">
        <v>638</v>
      </c>
    </row>
    <row r="311" spans="1:2" ht="24" customHeight="1">
      <c r="A311" s="3" t="s">
        <v>619</v>
      </c>
      <c r="B311" s="3" t="s">
        <v>639</v>
      </c>
    </row>
    <row r="312" spans="1:2" ht="24" customHeight="1">
      <c r="A312" s="1" t="s">
        <v>640</v>
      </c>
    </row>
    <row r="313" spans="1:2" ht="24" customHeight="1">
      <c r="A313" s="1" t="s">
        <v>641</v>
      </c>
    </row>
    <row r="315" spans="1:2" ht="24" customHeight="1">
      <c r="A315" s="10" t="s">
        <v>642</v>
      </c>
    </row>
    <row r="316" spans="1:2" ht="24" customHeight="1">
      <c r="A316" s="12" t="s">
        <v>643</v>
      </c>
      <c r="B316" s="12" t="s">
        <v>644</v>
      </c>
    </row>
    <row r="317" spans="1:2" ht="24" customHeight="1">
      <c r="A317" s="3" t="s">
        <v>645</v>
      </c>
      <c r="B317" s="3" t="s">
        <v>646</v>
      </c>
    </row>
    <row r="318" spans="1:2" ht="24" customHeight="1">
      <c r="A318" s="3" t="s">
        <v>647</v>
      </c>
      <c r="B318" s="3" t="s">
        <v>648</v>
      </c>
    </row>
    <row r="319" spans="1:2" ht="24" customHeight="1">
      <c r="A319" s="3" t="s">
        <v>649</v>
      </c>
      <c r="B319" s="3" t="s">
        <v>650</v>
      </c>
    </row>
    <row r="320" spans="1:2" ht="24" customHeight="1">
      <c r="A320" s="1" t="s">
        <v>651</v>
      </c>
    </row>
    <row r="321" spans="1:2" ht="24" customHeight="1">
      <c r="A321" s="10" t="s">
        <v>652</v>
      </c>
    </row>
    <row r="322" spans="1:2" ht="24" customHeight="1">
      <c r="A322" s="10" t="s">
        <v>653</v>
      </c>
    </row>
    <row r="324" spans="1:2" ht="24" customHeight="1">
      <c r="A324" s="10" t="s">
        <v>654</v>
      </c>
    </row>
    <row r="325" spans="1:2" ht="24" customHeight="1">
      <c r="A325" s="1" t="s">
        <v>655</v>
      </c>
    </row>
    <row r="326" spans="1:2" ht="24" customHeight="1">
      <c r="A326" s="1" t="s">
        <v>656</v>
      </c>
    </row>
    <row r="327" spans="1:2" ht="24" customHeight="1">
      <c r="A327" s="1" t="s">
        <v>657</v>
      </c>
    </row>
    <row r="328" spans="1:2" ht="24" customHeight="1">
      <c r="A328" s="1" t="s">
        <v>658</v>
      </c>
    </row>
    <row r="330" spans="1:2" ht="24" customHeight="1">
      <c r="A330" s="1" t="s">
        <v>659</v>
      </c>
    </row>
    <row r="331" spans="1:2" ht="24" customHeight="1">
      <c r="A331" s="1" t="s">
        <v>660</v>
      </c>
    </row>
    <row r="332" spans="1:2" ht="24" customHeight="1">
      <c r="A332" s="1" t="s">
        <v>661</v>
      </c>
    </row>
    <row r="333" spans="1:2" ht="24" customHeight="1">
      <c r="A333" s="1" t="s">
        <v>662</v>
      </c>
    </row>
    <row r="335" spans="1:2" ht="24" customHeight="1">
      <c r="A335" s="4" t="s">
        <v>612</v>
      </c>
      <c r="B335" s="4" t="s">
        <v>613</v>
      </c>
    </row>
    <row r="336" spans="1:2" ht="24" customHeight="1">
      <c r="A336" s="6" t="s">
        <v>663</v>
      </c>
      <c r="B336" s="6" t="s">
        <v>664</v>
      </c>
    </row>
    <row r="337" spans="1:2" ht="24" customHeight="1">
      <c r="A337" s="6" t="s">
        <v>665</v>
      </c>
      <c r="B337" s="8" t="s">
        <v>666</v>
      </c>
    </row>
    <row r="338" spans="1:2" ht="24" customHeight="1">
      <c r="A338" s="6" t="s">
        <v>667</v>
      </c>
      <c r="B338" s="6" t="s">
        <v>668</v>
      </c>
    </row>
    <row r="339" spans="1:2" ht="24" customHeight="1">
      <c r="A339" s="6" t="s">
        <v>669</v>
      </c>
      <c r="B339" s="8" t="s">
        <v>670</v>
      </c>
    </row>
    <row r="340" spans="1:2" ht="24" customHeight="1">
      <c r="A340" s="6" t="s">
        <v>671</v>
      </c>
      <c r="B340" s="6" t="s">
        <v>672</v>
      </c>
    </row>
    <row r="341" spans="1:2" ht="24" customHeight="1">
      <c r="A341" s="6" t="s">
        <v>673</v>
      </c>
      <c r="B341" s="6" t="s">
        <v>674</v>
      </c>
    </row>
    <row r="342" spans="1:2" ht="24" customHeight="1">
      <c r="A342" s="6" t="s">
        <v>675</v>
      </c>
      <c r="B342" s="6" t="s">
        <v>676</v>
      </c>
    </row>
    <row r="343" spans="1:2" ht="24" customHeight="1">
      <c r="A343" s="6" t="s">
        <v>677</v>
      </c>
      <c r="B343" s="6" t="s">
        <v>89</v>
      </c>
    </row>
    <row r="344" spans="1:2" ht="24" customHeight="1">
      <c r="A344" s="6" t="s">
        <v>678</v>
      </c>
      <c r="B344" s="6" t="s">
        <v>44</v>
      </c>
    </row>
    <row r="346" spans="1:2" ht="24" customHeight="1">
      <c r="A346" s="1" t="s">
        <v>679</v>
      </c>
    </row>
    <row r="347" spans="1:2" ht="24" customHeight="1">
      <c r="A347" s="9" t="s">
        <v>612</v>
      </c>
      <c r="B347" s="9" t="s">
        <v>613</v>
      </c>
    </row>
    <row r="348" spans="1:2" ht="24" customHeight="1">
      <c r="A348" s="3" t="s">
        <v>663</v>
      </c>
      <c r="B348" s="3" t="s">
        <v>664</v>
      </c>
    </row>
    <row r="349" spans="1:2" ht="24" customHeight="1">
      <c r="A349" s="3" t="s">
        <v>665</v>
      </c>
      <c r="B349" s="5" t="s">
        <v>666</v>
      </c>
    </row>
    <row r="350" spans="1:2" ht="24" customHeight="1">
      <c r="A350" s="3" t="s">
        <v>667</v>
      </c>
      <c r="B350" s="3" t="s">
        <v>668</v>
      </c>
    </row>
    <row r="351" spans="1:2" ht="24" customHeight="1">
      <c r="A351" s="3" t="s">
        <v>669</v>
      </c>
      <c r="B351" s="5" t="s">
        <v>670</v>
      </c>
    </row>
    <row r="352" spans="1:2" ht="24" customHeight="1">
      <c r="A352" s="3" t="s">
        <v>671</v>
      </c>
      <c r="B352" s="3" t="s">
        <v>672</v>
      </c>
    </row>
    <row r="353" spans="1:2" ht="24" customHeight="1">
      <c r="A353" s="3" t="s">
        <v>673</v>
      </c>
      <c r="B353" s="3" t="s">
        <v>674</v>
      </c>
    </row>
    <row r="354" spans="1:2" ht="24" customHeight="1">
      <c r="A354" s="3" t="s">
        <v>675</v>
      </c>
      <c r="B354" s="3" t="s">
        <v>676</v>
      </c>
    </row>
    <row r="355" spans="1:2" ht="24" customHeight="1">
      <c r="A355" s="3" t="s">
        <v>677</v>
      </c>
      <c r="B355" s="3" t="s">
        <v>89</v>
      </c>
    </row>
    <row r="356" spans="1:2" ht="24" customHeight="1">
      <c r="A356" s="3" t="s">
        <v>678</v>
      </c>
      <c r="B356" s="3" t="s">
        <v>44</v>
      </c>
    </row>
    <row r="358" spans="1:2" ht="24" customHeight="1">
      <c r="A358" s="1" t="s">
        <v>680</v>
      </c>
    </row>
    <row r="359" spans="1:2" ht="24" customHeight="1">
      <c r="A359" s="9" t="s">
        <v>612</v>
      </c>
      <c r="B359" s="9" t="s">
        <v>613</v>
      </c>
    </row>
    <row r="360" spans="1:2" ht="24" customHeight="1">
      <c r="A360" s="3" t="s">
        <v>663</v>
      </c>
      <c r="B360" s="3" t="s">
        <v>681</v>
      </c>
    </row>
    <row r="361" spans="1:2" ht="24" customHeight="1">
      <c r="A361" s="3" t="s">
        <v>665</v>
      </c>
      <c r="B361" s="3" t="s">
        <v>682</v>
      </c>
    </row>
    <row r="362" spans="1:2" ht="24" customHeight="1">
      <c r="A362" s="3" t="s">
        <v>667</v>
      </c>
      <c r="B362" s="3" t="s">
        <v>683</v>
      </c>
    </row>
    <row r="363" spans="1:2" ht="24" customHeight="1">
      <c r="A363" s="3" t="s">
        <v>669</v>
      </c>
      <c r="B363" s="3" t="s">
        <v>684</v>
      </c>
    </row>
    <row r="364" spans="1:2" ht="24" customHeight="1">
      <c r="A364" s="3" t="s">
        <v>671</v>
      </c>
      <c r="B364" s="3" t="s">
        <v>685</v>
      </c>
    </row>
    <row r="365" spans="1:2" ht="24" customHeight="1">
      <c r="A365" s="3" t="s">
        <v>673</v>
      </c>
      <c r="B365" s="3" t="s">
        <v>686</v>
      </c>
    </row>
    <row r="366" spans="1:2" ht="24" customHeight="1">
      <c r="A366" s="3" t="s">
        <v>675</v>
      </c>
      <c r="B366" s="3" t="s">
        <v>687</v>
      </c>
    </row>
    <row r="367" spans="1:2" ht="24" customHeight="1">
      <c r="A367" s="3" t="s">
        <v>677</v>
      </c>
      <c r="B367" s="3" t="s">
        <v>688</v>
      </c>
    </row>
    <row r="368" spans="1:2" ht="24" customHeight="1">
      <c r="A368" s="3" t="s">
        <v>678</v>
      </c>
      <c r="B368" s="3" t="s">
        <v>44</v>
      </c>
    </row>
    <row r="370" spans="1:2" ht="24" customHeight="1">
      <c r="A370" s="1" t="s">
        <v>689</v>
      </c>
    </row>
    <row r="371" spans="1:2" ht="24" customHeight="1">
      <c r="A371" s="9" t="s">
        <v>612</v>
      </c>
      <c r="B371" s="9" t="s">
        <v>613</v>
      </c>
    </row>
    <row r="372" spans="1:2" ht="24" customHeight="1">
      <c r="A372" s="3" t="s">
        <v>663</v>
      </c>
      <c r="B372" s="3" t="s">
        <v>690</v>
      </c>
    </row>
    <row r="373" spans="1:2" ht="24" customHeight="1">
      <c r="A373" s="3" t="s">
        <v>665</v>
      </c>
      <c r="B373" s="3" t="s">
        <v>691</v>
      </c>
    </row>
    <row r="374" spans="1:2" ht="24" customHeight="1">
      <c r="A374" s="3" t="s">
        <v>667</v>
      </c>
      <c r="B374" s="3" t="s">
        <v>692</v>
      </c>
    </row>
    <row r="375" spans="1:2" ht="24" customHeight="1">
      <c r="A375" s="3" t="s">
        <v>669</v>
      </c>
      <c r="B375" s="3" t="s">
        <v>693</v>
      </c>
    </row>
    <row r="376" spans="1:2" ht="24" customHeight="1">
      <c r="A376" s="3" t="s">
        <v>671</v>
      </c>
      <c r="B376" s="3" t="s">
        <v>694</v>
      </c>
    </row>
    <row r="377" spans="1:2" ht="24" customHeight="1">
      <c r="A377" s="3" t="s">
        <v>673</v>
      </c>
      <c r="B377" s="3" t="s">
        <v>695</v>
      </c>
    </row>
    <row r="378" spans="1:2" ht="24" customHeight="1">
      <c r="A378" s="3" t="s">
        <v>675</v>
      </c>
      <c r="B378" s="3" t="s">
        <v>696</v>
      </c>
    </row>
    <row r="379" spans="1:2" ht="24" customHeight="1">
      <c r="A379" s="3" t="s">
        <v>677</v>
      </c>
      <c r="B379" s="3" t="s">
        <v>697</v>
      </c>
    </row>
    <row r="380" spans="1:2" ht="24" customHeight="1">
      <c r="A380" s="3" t="s">
        <v>678</v>
      </c>
      <c r="B380" s="3" t="s">
        <v>44</v>
      </c>
    </row>
    <row r="382" spans="1:2" ht="24" customHeight="1">
      <c r="A382" s="10" t="s">
        <v>698</v>
      </c>
    </row>
    <row r="383" spans="1:2" ht="24" customHeight="1">
      <c r="A383" s="9" t="s">
        <v>612</v>
      </c>
      <c r="B383" s="9" t="s">
        <v>613</v>
      </c>
    </row>
    <row r="384" spans="1:2" ht="24" customHeight="1">
      <c r="A384" s="3" t="s">
        <v>663</v>
      </c>
      <c r="B384" s="3" t="s">
        <v>699</v>
      </c>
    </row>
    <row r="385" spans="1:2" ht="24" customHeight="1">
      <c r="A385" s="3" t="s">
        <v>665</v>
      </c>
      <c r="B385" s="3" t="s">
        <v>700</v>
      </c>
    </row>
    <row r="386" spans="1:2" ht="24" customHeight="1">
      <c r="A386" s="3" t="s">
        <v>667</v>
      </c>
      <c r="B386" s="3" t="s">
        <v>701</v>
      </c>
    </row>
    <row r="387" spans="1:2" ht="24" customHeight="1">
      <c r="A387" s="3" t="s">
        <v>669</v>
      </c>
      <c r="B387" s="3" t="s">
        <v>702</v>
      </c>
    </row>
    <row r="388" spans="1:2" ht="24" customHeight="1">
      <c r="A388" s="3" t="s">
        <v>671</v>
      </c>
      <c r="B388" s="3" t="s">
        <v>703</v>
      </c>
    </row>
    <row r="389" spans="1:2" ht="24" customHeight="1">
      <c r="A389" s="3" t="s">
        <v>673</v>
      </c>
      <c r="B389" s="5" t="s">
        <v>704</v>
      </c>
    </row>
    <row r="390" spans="1:2" ht="24" customHeight="1">
      <c r="A390" s="3" t="s">
        <v>675</v>
      </c>
      <c r="B390" s="3" t="s">
        <v>705</v>
      </c>
    </row>
    <row r="391" spans="1:2" ht="24" customHeight="1">
      <c r="A391" s="3" t="s">
        <v>677</v>
      </c>
      <c r="B391" s="3" t="s">
        <v>706</v>
      </c>
    </row>
    <row r="392" spans="1:2" ht="24" customHeight="1">
      <c r="A392" s="3" t="s">
        <v>678</v>
      </c>
      <c r="B392" s="3" t="s">
        <v>707</v>
      </c>
    </row>
    <row r="394" spans="1:2" ht="24" customHeight="1">
      <c r="A394" s="1" t="s">
        <v>708</v>
      </c>
    </row>
    <row r="395" spans="1:2" ht="24" customHeight="1">
      <c r="A395" s="9" t="s">
        <v>612</v>
      </c>
      <c r="B395" s="9" t="s">
        <v>613</v>
      </c>
    </row>
    <row r="396" spans="1:2" ht="24" customHeight="1">
      <c r="A396" s="3" t="s">
        <v>663</v>
      </c>
      <c r="B396" s="3" t="s">
        <v>709</v>
      </c>
    </row>
    <row r="397" spans="1:2" ht="24" customHeight="1">
      <c r="A397" s="3" t="s">
        <v>665</v>
      </c>
      <c r="B397" s="3" t="s">
        <v>710</v>
      </c>
    </row>
    <row r="398" spans="1:2" ht="24" customHeight="1">
      <c r="A398" s="3" t="s">
        <v>667</v>
      </c>
      <c r="B398" s="3" t="s">
        <v>711</v>
      </c>
    </row>
    <row r="399" spans="1:2" ht="24" customHeight="1">
      <c r="A399" s="3" t="s">
        <v>669</v>
      </c>
      <c r="B399" s="3" t="s">
        <v>712</v>
      </c>
    </row>
    <row r="400" spans="1:2" ht="24" customHeight="1">
      <c r="A400" s="3" t="s">
        <v>671</v>
      </c>
      <c r="B400" s="3" t="s">
        <v>713</v>
      </c>
    </row>
    <row r="401" spans="1:2" ht="24" customHeight="1">
      <c r="A401" s="3" t="s">
        <v>673</v>
      </c>
      <c r="B401" s="3" t="s">
        <v>714</v>
      </c>
    </row>
    <row r="402" spans="1:2" ht="24" customHeight="1">
      <c r="A402" s="3" t="s">
        <v>675</v>
      </c>
      <c r="B402" s="3" t="s">
        <v>715</v>
      </c>
    </row>
    <row r="403" spans="1:2" ht="24" customHeight="1">
      <c r="A403" s="3" t="s">
        <v>677</v>
      </c>
      <c r="B403" s="3" t="s">
        <v>39</v>
      </c>
    </row>
    <row r="404" spans="1:2" ht="24" customHeight="1">
      <c r="A404" s="3" t="s">
        <v>678</v>
      </c>
      <c r="B404" s="3" t="s">
        <v>69</v>
      </c>
    </row>
    <row r="406" spans="1:2" ht="24" customHeight="1">
      <c r="A406" s="1" t="s">
        <v>716</v>
      </c>
    </row>
    <row r="407" spans="1:2" ht="24" customHeight="1">
      <c r="A407" s="9" t="s">
        <v>612</v>
      </c>
      <c r="B407" s="9" t="s">
        <v>613</v>
      </c>
    </row>
    <row r="408" spans="1:2" ht="24" customHeight="1">
      <c r="A408" s="3" t="s">
        <v>663</v>
      </c>
      <c r="B408" s="3" t="s">
        <v>717</v>
      </c>
    </row>
    <row r="409" spans="1:2" ht="24" customHeight="1">
      <c r="A409" s="3" t="s">
        <v>665</v>
      </c>
      <c r="B409" s="3" t="s">
        <v>718</v>
      </c>
    </row>
    <row r="410" spans="1:2" ht="24" customHeight="1">
      <c r="A410" s="3" t="s">
        <v>667</v>
      </c>
      <c r="B410" s="3" t="s">
        <v>719</v>
      </c>
    </row>
    <row r="411" spans="1:2" ht="24" customHeight="1">
      <c r="A411" s="3" t="s">
        <v>669</v>
      </c>
      <c r="B411" s="3" t="s">
        <v>720</v>
      </c>
    </row>
    <row r="412" spans="1:2" ht="24" customHeight="1">
      <c r="A412" s="3" t="s">
        <v>671</v>
      </c>
      <c r="B412" s="3" t="s">
        <v>721</v>
      </c>
    </row>
    <row r="413" spans="1:2" ht="24" customHeight="1">
      <c r="A413" s="3" t="s">
        <v>673</v>
      </c>
      <c r="B413" s="3" t="s">
        <v>722</v>
      </c>
    </row>
    <row r="414" spans="1:2" ht="24" customHeight="1">
      <c r="A414" s="3" t="s">
        <v>675</v>
      </c>
      <c r="B414" s="3" t="s">
        <v>723</v>
      </c>
    </row>
    <row r="415" spans="1:2" ht="24" customHeight="1">
      <c r="A415" s="3" t="s">
        <v>677</v>
      </c>
      <c r="B415" s="3" t="s">
        <v>724</v>
      </c>
    </row>
    <row r="416" spans="1:2" ht="24" customHeight="1">
      <c r="A416" s="3" t="s">
        <v>678</v>
      </c>
      <c r="B416" s="3" t="s">
        <v>69</v>
      </c>
    </row>
    <row r="418" spans="1:4" ht="24" customHeight="1">
      <c r="A418" s="1" t="s">
        <v>725</v>
      </c>
    </row>
    <row r="419" spans="1:4" ht="24" customHeight="1">
      <c r="A419" s="9" t="s">
        <v>612</v>
      </c>
      <c r="B419" s="9" t="s">
        <v>613</v>
      </c>
    </row>
    <row r="420" spans="1:4" ht="24" customHeight="1">
      <c r="A420" s="3" t="s">
        <v>663</v>
      </c>
      <c r="B420" s="3" t="s">
        <v>726</v>
      </c>
    </row>
    <row r="421" spans="1:4" ht="24" customHeight="1">
      <c r="A421" s="3" t="s">
        <v>665</v>
      </c>
      <c r="B421" s="3" t="s">
        <v>727</v>
      </c>
    </row>
    <row r="422" spans="1:4" ht="24" customHeight="1">
      <c r="A422" s="3" t="s">
        <v>667</v>
      </c>
      <c r="B422" s="3" t="s">
        <v>728</v>
      </c>
    </row>
    <row r="423" spans="1:4" ht="24" customHeight="1">
      <c r="A423" s="3" t="s">
        <v>669</v>
      </c>
      <c r="B423" s="3" t="s">
        <v>729</v>
      </c>
    </row>
    <row r="424" spans="1:4" ht="24" customHeight="1">
      <c r="A424" s="3" t="s">
        <v>673</v>
      </c>
      <c r="B424" s="3" t="s">
        <v>730</v>
      </c>
    </row>
    <row r="425" spans="1:4" ht="24" customHeight="1">
      <c r="A425" s="3" t="s">
        <v>675</v>
      </c>
      <c r="B425" s="3" t="s">
        <v>731</v>
      </c>
    </row>
    <row r="426" spans="1:4" ht="24" customHeight="1">
      <c r="A426" s="3" t="s">
        <v>677</v>
      </c>
      <c r="B426" s="3" t="s">
        <v>732</v>
      </c>
    </row>
    <row r="427" spans="1:4" ht="24" customHeight="1">
      <c r="A427" s="3" t="s">
        <v>678</v>
      </c>
      <c r="B427" s="3" t="s">
        <v>77</v>
      </c>
    </row>
    <row r="429" spans="1:4" ht="24" customHeight="1">
      <c r="A429" s="10" t="s">
        <v>733</v>
      </c>
    </row>
    <row r="430" spans="1:4" ht="24" customHeight="1">
      <c r="A430" s="9" t="s">
        <v>734</v>
      </c>
      <c r="B430" s="9" t="s">
        <v>735</v>
      </c>
      <c r="C430" s="9" t="s">
        <v>736</v>
      </c>
      <c r="D430" s="9" t="s">
        <v>737</v>
      </c>
    </row>
    <row r="431" spans="1:4" ht="24" customHeight="1">
      <c r="A431" s="3" t="s">
        <v>738</v>
      </c>
      <c r="B431" s="3" t="s">
        <v>739</v>
      </c>
      <c r="C431" s="3" t="s">
        <v>740</v>
      </c>
      <c r="D431" s="3" t="s">
        <v>741</v>
      </c>
    </row>
    <row r="432" spans="1:4" ht="24" customHeight="1">
      <c r="A432" s="3" t="s">
        <v>742</v>
      </c>
      <c r="B432" s="3" t="s">
        <v>743</v>
      </c>
      <c r="C432" s="3" t="s">
        <v>744</v>
      </c>
      <c r="D432" s="3" t="s">
        <v>745</v>
      </c>
    </row>
    <row r="433" spans="1:4" ht="24" customHeight="1">
      <c r="A433" s="3" t="s">
        <v>746</v>
      </c>
      <c r="B433" s="3" t="s">
        <v>747</v>
      </c>
      <c r="C433" s="3" t="s">
        <v>748</v>
      </c>
      <c r="D433" s="3" t="s">
        <v>749</v>
      </c>
    </row>
    <row r="434" spans="1:4" ht="24" customHeight="1">
      <c r="A434" s="3" t="s">
        <v>750</v>
      </c>
      <c r="B434" s="3" t="s">
        <v>751</v>
      </c>
      <c r="C434" s="3" t="s">
        <v>752</v>
      </c>
      <c r="D434" s="3" t="s">
        <v>753</v>
      </c>
    </row>
    <row r="435" spans="1:4" ht="24" customHeight="1">
      <c r="A435" s="3" t="s">
        <v>754</v>
      </c>
      <c r="B435" s="3" t="s">
        <v>755</v>
      </c>
      <c r="C435" s="3" t="s">
        <v>756</v>
      </c>
      <c r="D435" s="3" t="s">
        <v>757</v>
      </c>
    </row>
    <row r="436" spans="1:4" ht="24" customHeight="1">
      <c r="A436" s="3" t="s">
        <v>758</v>
      </c>
      <c r="B436" s="3" t="s">
        <v>759</v>
      </c>
      <c r="C436" s="3" t="s">
        <v>760</v>
      </c>
      <c r="D436" s="3" t="s">
        <v>761</v>
      </c>
    </row>
    <row r="438" spans="1:4" ht="24" customHeight="1">
      <c r="A438" s="14" t="s">
        <v>451</v>
      </c>
      <c r="B438" s="14" t="s">
        <v>762</v>
      </c>
    </row>
    <row r="439" spans="1:4" ht="24" customHeight="1">
      <c r="A439" s="15" t="s">
        <v>763</v>
      </c>
      <c r="B439" s="15" t="s">
        <v>764</v>
      </c>
    </row>
    <row r="440" spans="1:4" ht="24" customHeight="1">
      <c r="A440" s="15" t="s">
        <v>765</v>
      </c>
      <c r="B440" s="15" t="s">
        <v>766</v>
      </c>
    </row>
    <row r="441" spans="1:4" ht="24" customHeight="1">
      <c r="A441" s="15" t="s">
        <v>767</v>
      </c>
      <c r="B441" s="15" t="s">
        <v>768</v>
      </c>
    </row>
    <row r="442" spans="1:4" ht="24" customHeight="1">
      <c r="A442" s="15" t="s">
        <v>769</v>
      </c>
      <c r="B442" s="15" t="s">
        <v>770</v>
      </c>
    </row>
    <row r="443" spans="1:4" ht="24" customHeight="1">
      <c r="A443" s="15" t="s">
        <v>771</v>
      </c>
      <c r="B443" s="15" t="s">
        <v>772</v>
      </c>
    </row>
    <row r="444" spans="1:4" ht="24" customHeight="1">
      <c r="A444" s="15" t="s">
        <v>773</v>
      </c>
      <c r="B444" s="15" t="s">
        <v>774</v>
      </c>
    </row>
    <row r="445" spans="1:4" ht="24" customHeight="1">
      <c r="A445" s="15" t="s">
        <v>775</v>
      </c>
      <c r="B445" s="15" t="s">
        <v>776</v>
      </c>
    </row>
  </sheetData>
  <phoneticPr fontId="1" type="noConversion"/>
  <conditionalFormatting sqref="A93:K164">
    <cfRule type="expression" dxfId="14" priority="1">
      <formula>$E93="In progress"</formula>
    </cfRule>
    <cfRule type="expression" dxfId="13" priority="2">
      <formula>$E93="Done"</formula>
    </cfRule>
    <cfRule type="expression" dxfId="12" priority="3">
      <formula>$E93="Blocked"</formula>
    </cfRule>
    <cfRule type="expression" dxfId="11" priority="4">
      <formula>$E93="Not Started"</formula>
    </cfRule>
    <cfRule type="expression" dxfId="10" priority="5">
      <formula>$E93="Deferred"</formula>
    </cfRule>
  </conditionalFormatting>
  <conditionalFormatting sqref="A18:R89">
    <cfRule type="expression" dxfId="9" priority="11">
      <formula>$M18="In progress"</formula>
    </cfRule>
    <cfRule type="expression" dxfId="8" priority="12">
      <formula>$M18="Done"</formula>
    </cfRule>
    <cfRule type="expression" dxfId="7" priority="13">
      <formula>$M18="Blocked"</formula>
    </cfRule>
    <cfRule type="expression" dxfId="6" priority="14">
      <formula>$M18="Not Started"</formula>
    </cfRule>
    <cfRule type="expression" dxfId="5" priority="15">
      <formula>$M18="Deferred"</formula>
    </cfRule>
  </conditionalFormatting>
  <conditionalFormatting sqref="D18:D89">
    <cfRule type="expression" dxfId="4" priority="6">
      <formula>$K18="In progress"</formula>
    </cfRule>
    <cfRule type="expression" dxfId="3" priority="7">
      <formula>$K18="Done"</formula>
    </cfRule>
    <cfRule type="expression" dxfId="2" priority="8">
      <formula>$K18="Blocked"</formula>
    </cfRule>
    <cfRule type="expression" dxfId="1" priority="9">
      <formula>$K18="Not Started"</formula>
    </cfRule>
    <cfRule type="expression" dxfId="0" priority="10">
      <formula>$K18="Deferred"</formula>
    </cfRule>
  </conditionalFormatting>
  <dataValidations count="16">
    <dataValidation type="list" allowBlank="1" sqref="D18:D89" xr:uid="{5C480B83-1F0D-4445-AE9B-33316A5833FD}">
      <formula1>"AD,MVP,AD→MVP"</formula1>
    </dataValidation>
    <dataValidation type="list" allowBlank="1" sqref="C18:C89" xr:uid="{F44EA234-6D77-40A3-AEA6-E2A1299EA514}">
      <formula1>"Strategy &amp; Positioning,Brand &amp; Copy,Landing &amp; Funnel,Test UX &amp; Results,Web/Engineering,Domain/Infra/Security,Analytics &amp; Data,SEO &amp; AI Search,Content (Blog/UGC),Ads (Meta/TikTok),Operations/Legal,Partnerships &amp; Distribution"</formula1>
    </dataValidation>
    <dataValidation type="list" allowBlank="1" sqref="M18:M89 E93:E164 I183:I186 E209:E214" xr:uid="{82C23132-FC53-41D5-92C5-357924C35CFE}">
      <formula1>"Not Started,In Progress,Blocked,Done,Deferred"</formula1>
    </dataValidation>
    <dataValidation type="list" allowBlank="1" sqref="L18:L89" xr:uid="{536312F8-4CC6-4C3D-8C14-0024309CDFBA}">
      <formula1>"XS,S,M,L,XL"</formula1>
    </dataValidation>
    <dataValidation type="list" allowBlank="1" sqref="K18:K89" xr:uid="{1D101199-1A9E-43A8-A6A3-43F24C82BD2C}">
      <formula1>"High,Medium,Low"</formula1>
    </dataValidation>
    <dataValidation type="list" allowBlank="1" sqref="J18:J89 G218:G225" xr:uid="{8921E999-9696-47B2-B0D8-07B5053B5400}">
      <formula1>"P0,P1,P2,P3"</formula1>
    </dataValidation>
    <dataValidation type="list" allowBlank="1" sqref="B18:B89" xr:uid="{1D57774F-146B-4E14-91A8-001A1D3EC968}">
      <formula1>"P0-Setup,P1-MVP,P2-Growth"</formula1>
    </dataValidation>
    <dataValidation type="list" allowBlank="1" sqref="E183:E186" xr:uid="{117C8069-D01A-41A8-B4DD-D3F19304A1D4}">
      <formula1>"Feed,Story,Reels,Shorts,Article,Card,Image,Text"</formula1>
    </dataValidation>
    <dataValidation type="list" allowBlank="1" sqref="D183:D186" xr:uid="{70D68A49-AF31-4B95-9564-001D4F75EAC8}">
      <formula1>"Instagram,TikTok,Naver Blog,Website,Email/DM,Other"</formula1>
    </dataValidation>
    <dataValidation type="list" allowBlank="1" sqref="C183:C186" xr:uid="{E8234037-E161-4805-BDCA-324266E5214D}">
      <formula1>"KO,EN"</formula1>
    </dataValidation>
    <dataValidation type="list" allowBlank="1" sqref="B183:B186" xr:uid="{9E3F6E7C-D10C-43F3-9F2B-883EBC7EE7AA}">
      <formula1>"Ad Creative,Landing Copy,Result Copy,Blog Post,UGC Script,OG Image"</formula1>
    </dataValidation>
    <dataValidation type="list" allowBlank="1" sqref="L190:L205" xr:uid="{6885DB68-361A-404C-B9D1-784EC0AF151B}">
      <formula1>"CTR,CPC,CPA(Test Start),CPA(Completion),Share Rate,Start Rate,Completion Rate"</formula1>
    </dataValidation>
    <dataValidation type="list" allowBlank="1" sqref="E190:E205" xr:uid="{42B5DA28-B566-4714-A54F-5C320C4F8A45}">
      <formula1>"Traffic,Conversions,Engagement,Leads"</formula1>
    </dataValidation>
    <dataValidation type="list" allowBlank="1" sqref="A190:A205" xr:uid="{E00B89ED-A494-4D8F-98BB-3A2E8253A156}">
      <formula1>"Meta,TikTok,Google(선택),Naver(선택)"</formula1>
    </dataValidation>
    <dataValidation type="list" allowBlank="1" sqref="E218:F225" xr:uid="{B7C4730B-F40D-4C46-A134-CDEECD3C896E}">
      <formula1>"Y,N"</formula1>
    </dataValidation>
    <dataValidation type="list" allowBlank="1" sqref="C218:C225" xr:uid="{0BC12F85-777C-4891-A5E5-4B1268A74EF4}">
      <formula1>"Client,Server,Both"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76F1-3BDF-4321-8E22-221B029E0C4E}">
  <dimension ref="A1"/>
  <sheetViews>
    <sheetView workbookViewId="0">
      <selection activeCell="Q48" sqref="Q48"/>
    </sheetView>
  </sheetViews>
  <sheetFormatPr defaultRowHeight="15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CORE_STRATEGY</vt:lpstr>
      <vt:lpstr>Revenue_Model</vt:lpstr>
      <vt:lpstr>Master_KPI</vt:lpstr>
      <vt:lpstr>Project_Roadmap</vt:lpstr>
      <vt:lpstr>Analytics_Framework</vt:lpstr>
      <vt:lpstr>Project_Status</vt:lpstr>
      <vt:lpstr>AI_Orchestrator_Map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2026-02-13T02:54:34Z</dcterms:created>
  <dcterms:modified xsi:type="dcterms:W3CDTF">2026-02-19T10:59:22Z</dcterms:modified>
</cp:coreProperties>
</file>